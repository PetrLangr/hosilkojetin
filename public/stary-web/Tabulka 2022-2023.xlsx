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Lukáš\Šipky\Sezóna VIII. (2022-2023)\"/>
    </mc:Choice>
  </mc:AlternateContent>
  <xr:revisionPtr revIDLastSave="0" documentId="13_ncr:1_{CDDED432-6615-4C5C-8C94-12F23EE2880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List1" sheetId="1" r:id="rId1"/>
    <sheet name="List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8" i="3" l="1"/>
  <c r="I39" i="3"/>
  <c r="I37" i="3"/>
  <c r="I36" i="3"/>
  <c r="I35" i="3"/>
  <c r="I34" i="3"/>
  <c r="I33" i="3"/>
  <c r="I32" i="3"/>
  <c r="I31" i="3"/>
  <c r="I30" i="3"/>
  <c r="N30" i="3"/>
  <c r="M30" i="3"/>
  <c r="L30" i="3"/>
  <c r="J30" i="3"/>
  <c r="N39" i="3"/>
  <c r="N38" i="3"/>
  <c r="N37" i="3"/>
  <c r="N36" i="3"/>
  <c r="N35" i="3"/>
  <c r="N34" i="3"/>
  <c r="N33" i="3"/>
  <c r="N32" i="3"/>
  <c r="N31" i="3"/>
  <c r="M39" i="3"/>
  <c r="M38" i="3"/>
  <c r="M37" i="3"/>
  <c r="M36" i="3"/>
  <c r="M35" i="3"/>
  <c r="M34" i="3"/>
  <c r="M33" i="3"/>
  <c r="M32" i="3"/>
  <c r="M31" i="3"/>
  <c r="L39" i="3"/>
  <c r="L38" i="3"/>
  <c r="L37" i="3"/>
  <c r="L36" i="3"/>
  <c r="L35" i="3"/>
  <c r="L34" i="3"/>
  <c r="L33" i="3"/>
  <c r="L32" i="3"/>
  <c r="L31" i="3"/>
  <c r="J39" i="3"/>
  <c r="T39" i="3" s="1"/>
  <c r="J38" i="3"/>
  <c r="J37" i="3"/>
  <c r="T37" i="3" s="1"/>
  <c r="J36" i="3"/>
  <c r="J35" i="3"/>
  <c r="T35" i="3" s="1"/>
  <c r="J34" i="3"/>
  <c r="J33" i="3"/>
  <c r="J32" i="3"/>
  <c r="J31" i="3"/>
  <c r="T31" i="3" s="1"/>
  <c r="C39" i="3"/>
  <c r="C38" i="3"/>
  <c r="C37" i="3"/>
  <c r="C36" i="3"/>
  <c r="C35" i="3"/>
  <c r="C34" i="3"/>
  <c r="C33" i="3"/>
  <c r="C32" i="3"/>
  <c r="C31" i="3"/>
  <c r="C30" i="3"/>
  <c r="AX24" i="3"/>
  <c r="S39" i="3" s="1"/>
  <c r="AW24" i="3"/>
  <c r="R39" i="3" s="1"/>
  <c r="AV24" i="3"/>
  <c r="Q39" i="3" s="1"/>
  <c r="AU24" i="3"/>
  <c r="O39" i="3" s="1"/>
  <c r="AS24" i="3"/>
  <c r="S38" i="3" s="1"/>
  <c r="AR24" i="3"/>
  <c r="R38" i="3" s="1"/>
  <c r="AQ24" i="3"/>
  <c r="Q38" i="3" s="1"/>
  <c r="AP24" i="3"/>
  <c r="O38" i="3" s="1"/>
  <c r="AN24" i="3"/>
  <c r="S37" i="3" s="1"/>
  <c r="AM24" i="3"/>
  <c r="R37" i="3" s="1"/>
  <c r="AL24" i="3"/>
  <c r="Q37" i="3" s="1"/>
  <c r="AK24" i="3"/>
  <c r="O37" i="3" s="1"/>
  <c r="T34" i="3" l="1"/>
  <c r="T32" i="3"/>
  <c r="T36" i="3"/>
  <c r="T38" i="3"/>
  <c r="T30" i="3"/>
  <c r="T33" i="3"/>
  <c r="AA24" i="3"/>
  <c r="O35" i="3" s="1"/>
  <c r="AB24" i="3"/>
  <c r="Q35" i="3" s="1"/>
  <c r="AC24" i="3"/>
  <c r="R35" i="3" s="1"/>
  <c r="AD24" i="3"/>
  <c r="S35" i="3" s="1"/>
  <c r="AF24" i="3"/>
  <c r="O36" i="3" s="1"/>
  <c r="AG24" i="3"/>
  <c r="Q36" i="3" s="1"/>
  <c r="AH24" i="3"/>
  <c r="R36" i="3" s="1"/>
  <c r="AI24" i="3"/>
  <c r="S36" i="3" s="1"/>
  <c r="C24" i="3"/>
  <c r="Q30" i="3" s="1"/>
  <c r="D24" i="3"/>
  <c r="R30" i="3" s="1"/>
  <c r="E24" i="3"/>
  <c r="S30" i="3" s="1"/>
  <c r="G24" i="3"/>
  <c r="O31" i="3" s="1"/>
  <c r="H24" i="3"/>
  <c r="Q31" i="3" s="1"/>
  <c r="I24" i="3"/>
  <c r="R31" i="3" s="1"/>
  <c r="J24" i="3"/>
  <c r="S31" i="3" s="1"/>
  <c r="L24" i="3"/>
  <c r="O32" i="3" s="1"/>
  <c r="M24" i="3"/>
  <c r="Q32" i="3" s="1"/>
  <c r="N24" i="3"/>
  <c r="R32" i="3" s="1"/>
  <c r="O24" i="3"/>
  <c r="S32" i="3" s="1"/>
  <c r="Q24" i="3"/>
  <c r="O33" i="3" s="1"/>
  <c r="R24" i="3"/>
  <c r="Q33" i="3" s="1"/>
  <c r="S24" i="3"/>
  <c r="R33" i="3" s="1"/>
  <c r="T24" i="3"/>
  <c r="S33" i="3" s="1"/>
  <c r="V24" i="3"/>
  <c r="O34" i="3" s="1"/>
  <c r="W24" i="3"/>
  <c r="Q34" i="3" s="1"/>
  <c r="X24" i="3"/>
  <c r="R34" i="3" s="1"/>
  <c r="Y24" i="3"/>
  <c r="S34" i="3" s="1"/>
  <c r="B24" i="3"/>
  <c r="O30" i="3" s="1"/>
</calcChain>
</file>

<file path=xl/sharedStrings.xml><?xml version="1.0" encoding="utf-8"?>
<sst xmlns="http://schemas.openxmlformats.org/spreadsheetml/2006/main" count="103" uniqueCount="57">
  <si>
    <t>Š Vepři K</t>
  </si>
  <si>
    <t>HANNIBAL LECTER "B"</t>
  </si>
  <si>
    <t>Panteři 2016</t>
  </si>
  <si>
    <t>DC Racek Chropyně</t>
  </si>
  <si>
    <t>Sysli Tvorovice</t>
  </si>
  <si>
    <t>Kino City</t>
  </si>
  <si>
    <t>Sportbar Baďa A</t>
  </si>
  <si>
    <t>Draci "A"</t>
  </si>
  <si>
    <t>Medvědi</t>
  </si>
  <si>
    <t>HANNIBAL LECTER "A"</t>
  </si>
  <si>
    <t>Sportbar Baďa B</t>
  </si>
  <si>
    <t>Draci "B"</t>
  </si>
  <si>
    <t>Pořadí</t>
  </si>
  <si>
    <t>Tými</t>
  </si>
  <si>
    <t>Kolo</t>
  </si>
  <si>
    <t xml:space="preserve">Výhry </t>
  </si>
  <si>
    <t xml:space="preserve">Prohry </t>
  </si>
  <si>
    <t>legy</t>
  </si>
  <si>
    <t xml:space="preserve">body </t>
  </si>
  <si>
    <t xml:space="preserve">Výsledky </t>
  </si>
  <si>
    <t>_57:18_</t>
  </si>
  <si>
    <t>_126:55_</t>
  </si>
  <si>
    <t>_48:27_</t>
  </si>
  <si>
    <t>_105:78_</t>
  </si>
  <si>
    <t>_42:18_</t>
  </si>
  <si>
    <t>_53:22_</t>
  </si>
  <si>
    <t>_117:58_</t>
  </si>
  <si>
    <t>_107:74_</t>
  </si>
  <si>
    <t>_31:44_</t>
  </si>
  <si>
    <t>_79:105_</t>
  </si>
  <si>
    <t>_36:39_</t>
  </si>
  <si>
    <t>_88:92_</t>
  </si>
  <si>
    <t>_48:61_</t>
  </si>
  <si>
    <t>_26:49_</t>
  </si>
  <si>
    <t>_70:105_</t>
  </si>
  <si>
    <t>_25:50_</t>
  </si>
  <si>
    <t>_69:104_</t>
  </si>
  <si>
    <t>_17:43_</t>
  </si>
  <si>
    <t>_48:95_</t>
  </si>
  <si>
    <t>_92:50_</t>
  </si>
  <si>
    <t>_21:54_</t>
  </si>
  <si>
    <t>_64:119_</t>
  </si>
  <si>
    <t>v</t>
  </si>
  <si>
    <t>vp</t>
  </si>
  <si>
    <t>p</t>
  </si>
  <si>
    <t>pp</t>
  </si>
  <si>
    <t>Š VEPŘI K</t>
  </si>
  <si>
    <t>Bochořský koblihy</t>
  </si>
  <si>
    <t>VP</t>
  </si>
  <si>
    <t>V</t>
  </si>
  <si>
    <t>P</t>
  </si>
  <si>
    <t>PP</t>
  </si>
  <si>
    <t>body</t>
  </si>
  <si>
    <t>Výsledky</t>
  </si>
  <si>
    <t>Moštárna Kojetín</t>
  </si>
  <si>
    <t>DC Kraken Dřínov A</t>
  </si>
  <si>
    <t>DC Kraken Dřínov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</si>
</sst>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u/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 diagonalDown="1">
      <left/>
      <right/>
      <top style="thin">
        <color indexed="64"/>
      </top>
      <bottom/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46" fontId="1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20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46" fontId="3" fillId="0" borderId="0" xfId="0" applyNumberFormat="1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22" fontId="0" fillId="0" borderId="0" xfId="0" applyNumberFormat="1"/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20" fontId="0" fillId="0" borderId="0" xfId="0" applyNumberFormat="1" applyAlignment="1">
      <alignment horizontal="left"/>
    </xf>
    <xf numFmtId="20" fontId="0" fillId="0" borderId="0" xfId="0" applyNumberFormat="1"/>
    <xf numFmtId="16" fontId="0" fillId="0" borderId="0" xfId="0" applyNumberFormat="1" applyAlignment="1">
      <alignment horizontal="left" vertical="center"/>
    </xf>
    <xf numFmtId="1" fontId="0" fillId="0" borderId="1" xfId="0" applyNumberFormat="1" applyBorder="1"/>
    <xf numFmtId="1" fontId="0" fillId="0" borderId="7" xfId="0" applyNumberFormat="1" applyBorder="1" applyAlignment="1">
      <alignment vertical="center"/>
    </xf>
    <xf numFmtId="1" fontId="0" fillId="0" borderId="7" xfId="0" applyNumberFormat="1" applyBorder="1"/>
    <xf numFmtId="1" fontId="0" fillId="0" borderId="0" xfId="0" applyNumberFormat="1"/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right"/>
    </xf>
    <xf numFmtId="1" fontId="0" fillId="0" borderId="0" xfId="0" applyNumberFormat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3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right" vertical="center"/>
    </xf>
    <xf numFmtId="1" fontId="0" fillId="0" borderId="0" xfId="0" applyNumberFormat="1" applyAlignment="1">
      <alignment horizontal="left" vertical="center"/>
    </xf>
    <xf numFmtId="1" fontId="3" fillId="0" borderId="0" xfId="0" applyNumberFormat="1" applyFont="1" applyAlignment="1">
      <alignment horizontal="right" vertical="center" wrapText="1"/>
    </xf>
    <xf numFmtId="1" fontId="3" fillId="0" borderId="0" xfId="0" applyNumberFormat="1" applyFont="1" applyAlignment="1">
      <alignment horizontal="left" vertical="center" wrapText="1"/>
    </xf>
    <xf numFmtId="1" fontId="0" fillId="0" borderId="12" xfId="0" applyNumberFormat="1" applyBorder="1" applyAlignment="1">
      <alignment horizontal="right"/>
    </xf>
    <xf numFmtId="1" fontId="0" fillId="0" borderId="13" xfId="0" applyNumberFormat="1" applyBorder="1" applyAlignment="1">
      <alignment horizontal="left"/>
    </xf>
    <xf numFmtId="1" fontId="0" fillId="0" borderId="14" xfId="0" applyNumberFormat="1" applyBorder="1"/>
    <xf numFmtId="1" fontId="0" fillId="0" borderId="14" xfId="0" applyNumberFormat="1" applyBorder="1" applyAlignment="1">
      <alignment horizontal="left"/>
    </xf>
    <xf numFmtId="1" fontId="0" fillId="0" borderId="12" xfId="0" applyNumberFormat="1" applyBorder="1"/>
    <xf numFmtId="1" fontId="0" fillId="0" borderId="15" xfId="0" applyNumberFormat="1" applyBorder="1"/>
    <xf numFmtId="1" fontId="0" fillId="0" borderId="7" xfId="0" applyNumberFormat="1" applyBorder="1" applyAlignment="1">
      <alignment horizontal="center"/>
    </xf>
    <xf numFmtId="1" fontId="0" fillId="0" borderId="1" xfId="0" applyNumberFormat="1" applyBorder="1" applyAlignment="1">
      <alignment vertical="center"/>
    </xf>
    <xf numFmtId="1" fontId="0" fillId="2" borderId="1" xfId="0" applyNumberFormat="1" applyFill="1" applyBorder="1" applyAlignment="1">
      <alignment horizontal="right"/>
    </xf>
    <xf numFmtId="1" fontId="0" fillId="2" borderId="1" xfId="0" applyNumberFormat="1" applyFill="1" applyBorder="1" applyAlignment="1">
      <alignment horizontal="left"/>
    </xf>
    <xf numFmtId="1" fontId="0" fillId="2" borderId="2" xfId="0" applyNumberFormat="1" applyFill="1" applyBorder="1" applyAlignment="1">
      <alignment horizontal="left"/>
    </xf>
    <xf numFmtId="1" fontId="0" fillId="2" borderId="7" xfId="0" applyNumberFormat="1" applyFill="1" applyBorder="1"/>
    <xf numFmtId="1" fontId="0" fillId="2" borderId="3" xfId="0" applyNumberFormat="1" applyFill="1" applyBorder="1" applyAlignment="1">
      <alignment horizontal="right"/>
    </xf>
    <xf numFmtId="1" fontId="0" fillId="2" borderId="3" xfId="0" applyNumberFormat="1" applyFill="1" applyBorder="1"/>
    <xf numFmtId="1" fontId="0" fillId="2" borderId="1" xfId="0" applyNumberFormat="1" applyFill="1" applyBorder="1"/>
    <xf numFmtId="1" fontId="0" fillId="2" borderId="9" xfId="0" applyNumberFormat="1" applyFill="1" applyBorder="1" applyAlignment="1">
      <alignment horizontal="right"/>
    </xf>
    <xf numFmtId="1" fontId="0" fillId="2" borderId="9" xfId="0" applyNumberFormat="1" applyFill="1" applyBorder="1" applyAlignment="1">
      <alignment horizontal="left"/>
    </xf>
    <xf numFmtId="1" fontId="0" fillId="2" borderId="10" xfId="0" applyNumberFormat="1" applyFill="1" applyBorder="1" applyAlignment="1">
      <alignment horizontal="left"/>
    </xf>
    <xf numFmtId="1" fontId="0" fillId="2" borderId="11" xfId="0" applyNumberFormat="1" applyFill="1" applyBorder="1" applyAlignment="1">
      <alignment horizontal="right"/>
    </xf>
    <xf numFmtId="1" fontId="0" fillId="2" borderId="11" xfId="0" applyNumberFormat="1" applyFill="1" applyBorder="1"/>
    <xf numFmtId="1" fontId="0" fillId="2" borderId="9" xfId="0" applyNumberFormat="1" applyFill="1" applyBorder="1"/>
    <xf numFmtId="1" fontId="0" fillId="0" borderId="9" xfId="0" applyNumberFormat="1" applyBorder="1"/>
    <xf numFmtId="1" fontId="0" fillId="0" borderId="16" xfId="0" applyNumberFormat="1" applyBorder="1"/>
    <xf numFmtId="1" fontId="0" fillId="0" borderId="2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right" vertical="center"/>
    </xf>
    <xf numFmtId="1" fontId="0" fillId="0" borderId="1" xfId="0" applyNumberFormat="1" applyBorder="1" applyAlignment="1">
      <alignment horizontal="left" vertical="center"/>
    </xf>
    <xf numFmtId="1" fontId="0" fillId="0" borderId="1" xfId="0" applyNumberFormat="1" applyBorder="1" applyAlignment="1">
      <alignment horizontal="right"/>
    </xf>
    <xf numFmtId="1" fontId="0" fillId="0" borderId="2" xfId="0" applyNumberFormat="1" applyBorder="1" applyAlignment="1">
      <alignment horizontal="left"/>
    </xf>
    <xf numFmtId="1" fontId="0" fillId="0" borderId="3" xfId="0" applyNumberFormat="1" applyBorder="1" applyAlignment="1">
      <alignment horizontal="right"/>
    </xf>
    <xf numFmtId="1" fontId="0" fillId="0" borderId="1" xfId="0" applyNumberFormat="1" applyBorder="1" applyAlignment="1">
      <alignment horizontal="left"/>
    </xf>
    <xf numFmtId="1" fontId="0" fillId="0" borderId="3" xfId="0" applyNumberFormat="1" applyBorder="1"/>
    <xf numFmtId="1" fontId="3" fillId="0" borderId="1" xfId="0" applyNumberFormat="1" applyFont="1" applyBorder="1" applyAlignment="1">
      <alignment horizontal="right" vertical="center" wrapText="1"/>
    </xf>
    <xf numFmtId="1" fontId="3" fillId="0" borderId="1" xfId="0" applyNumberFormat="1" applyFont="1" applyBorder="1" applyAlignment="1">
      <alignment horizontal="left" vertical="center" wrapText="1"/>
    </xf>
    <xf numFmtId="1" fontId="0" fillId="0" borderId="9" xfId="0" applyNumberFormat="1" applyBorder="1" applyAlignment="1">
      <alignment horizontal="right" vertical="center"/>
    </xf>
    <xf numFmtId="1" fontId="0" fillId="0" borderId="9" xfId="0" applyNumberFormat="1" applyBorder="1" applyAlignment="1">
      <alignment horizontal="left" vertical="center"/>
    </xf>
    <xf numFmtId="1" fontId="0" fillId="0" borderId="9" xfId="0" applyNumberFormat="1" applyBorder="1" applyAlignment="1">
      <alignment horizontal="right"/>
    </xf>
    <xf numFmtId="1" fontId="0" fillId="0" borderId="10" xfId="0" applyNumberFormat="1" applyBorder="1" applyAlignment="1">
      <alignment horizontal="left"/>
    </xf>
    <xf numFmtId="1" fontId="0" fillId="0" borderId="17" xfId="0" applyNumberFormat="1" applyBorder="1"/>
    <xf numFmtId="1" fontId="0" fillId="0" borderId="11" xfId="0" applyNumberFormat="1" applyBorder="1" applyAlignment="1">
      <alignment horizontal="right"/>
    </xf>
    <xf numFmtId="1" fontId="0" fillId="0" borderId="9" xfId="0" applyNumberFormat="1" applyBorder="1" applyAlignment="1">
      <alignment horizontal="left"/>
    </xf>
    <xf numFmtId="1" fontId="0" fillId="0" borderId="11" xfId="0" applyNumberFormat="1" applyBorder="1"/>
    <xf numFmtId="1" fontId="0" fillId="0" borderId="16" xfId="0" applyNumberFormat="1" applyBorder="1" applyAlignment="1">
      <alignment horizontal="right"/>
    </xf>
    <xf numFmtId="1" fontId="0" fillId="0" borderId="18" xfId="0" applyNumberFormat="1" applyBorder="1" applyAlignment="1">
      <alignment horizontal="left"/>
    </xf>
    <xf numFmtId="1" fontId="0" fillId="0" borderId="19" xfId="0" applyNumberFormat="1" applyBorder="1"/>
    <xf numFmtId="1" fontId="0" fillId="0" borderId="20" xfId="0" applyNumberFormat="1" applyBorder="1" applyAlignment="1">
      <alignment horizontal="right"/>
    </xf>
    <xf numFmtId="1" fontId="0" fillId="0" borderId="16" xfId="0" applyNumberFormat="1" applyBorder="1" applyAlignment="1">
      <alignment horizontal="left"/>
    </xf>
    <xf numFmtId="1" fontId="0" fillId="0" borderId="20" xfId="0" applyNumberFormat="1" applyBorder="1"/>
    <xf numFmtId="1" fontId="3" fillId="0" borderId="1" xfId="0" applyNumberFormat="1" applyFont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right" vertical="center"/>
    </xf>
    <xf numFmtId="1" fontId="0" fillId="3" borderId="1" xfId="0" applyNumberFormat="1" applyFill="1" applyBorder="1" applyAlignment="1">
      <alignment horizontal="left" vertical="center"/>
    </xf>
    <xf numFmtId="1" fontId="0" fillId="3" borderId="1" xfId="0" applyNumberFormat="1" applyFill="1" applyBorder="1" applyAlignment="1">
      <alignment horizontal="right"/>
    </xf>
    <xf numFmtId="1" fontId="0" fillId="3" borderId="2" xfId="0" applyNumberFormat="1" applyFill="1" applyBorder="1" applyAlignment="1">
      <alignment horizontal="left"/>
    </xf>
    <xf numFmtId="1" fontId="0" fillId="3" borderId="3" xfId="0" applyNumberFormat="1" applyFill="1" applyBorder="1" applyAlignment="1">
      <alignment horizontal="right"/>
    </xf>
    <xf numFmtId="1" fontId="0" fillId="3" borderId="1" xfId="0" applyNumberFormat="1" applyFill="1" applyBorder="1" applyAlignment="1">
      <alignment horizontal="left"/>
    </xf>
    <xf numFmtId="1" fontId="0" fillId="3" borderId="3" xfId="0" applyNumberFormat="1" applyFill="1" applyBorder="1"/>
    <xf numFmtId="1" fontId="0" fillId="3" borderId="1" xfId="0" applyNumberFormat="1" applyFill="1" applyBorder="1"/>
    <xf numFmtId="1" fontId="0" fillId="3" borderId="11" xfId="0" applyNumberFormat="1" applyFill="1" applyBorder="1"/>
    <xf numFmtId="1" fontId="0" fillId="3" borderId="9" xfId="0" applyNumberFormat="1" applyFill="1" applyBorder="1" applyAlignment="1">
      <alignment horizontal="left"/>
    </xf>
    <xf numFmtId="1" fontId="0" fillId="3" borderId="9" xfId="0" applyNumberFormat="1" applyFill="1" applyBorder="1"/>
    <xf numFmtId="1" fontId="0" fillId="4" borderId="3" xfId="0" applyNumberFormat="1" applyFill="1" applyBorder="1" applyAlignment="1">
      <alignment horizontal="right"/>
    </xf>
    <xf numFmtId="1" fontId="0" fillId="4" borderId="1" xfId="0" applyNumberFormat="1" applyFill="1" applyBorder="1" applyAlignment="1">
      <alignment horizontal="left"/>
    </xf>
    <xf numFmtId="1" fontId="0" fillId="4" borderId="1" xfId="0" applyNumberFormat="1" applyFill="1" applyBorder="1" applyAlignment="1">
      <alignment horizontal="right"/>
    </xf>
    <xf numFmtId="1" fontId="0" fillId="4" borderId="2" xfId="0" applyNumberFormat="1" applyFill="1" applyBorder="1" applyAlignment="1">
      <alignment horizontal="left"/>
    </xf>
    <xf numFmtId="1" fontId="0" fillId="4" borderId="3" xfId="0" applyNumberFormat="1" applyFill="1" applyBorder="1"/>
    <xf numFmtId="1" fontId="0" fillId="4" borderId="1" xfId="0" applyNumberFormat="1" applyFill="1" applyBorder="1"/>
    <xf numFmtId="1" fontId="0" fillId="4" borderId="1" xfId="0" applyNumberFormat="1" applyFill="1" applyBorder="1" applyAlignment="1">
      <alignment horizontal="right" vertical="center"/>
    </xf>
    <xf numFmtId="1" fontId="0" fillId="4" borderId="1" xfId="0" applyNumberFormat="1" applyFill="1" applyBorder="1" applyAlignment="1">
      <alignment horizontal="left" vertical="center"/>
    </xf>
    <xf numFmtId="1" fontId="0" fillId="3" borderId="16" xfId="0" applyNumberFormat="1" applyFill="1" applyBorder="1" applyAlignment="1">
      <alignment horizontal="right" vertical="center"/>
    </xf>
    <xf numFmtId="1" fontId="0" fillId="3" borderId="16" xfId="0" applyNumberFormat="1" applyFill="1" applyBorder="1" applyAlignment="1">
      <alignment horizontal="left" vertical="center"/>
    </xf>
    <xf numFmtId="1" fontId="0" fillId="3" borderId="16" xfId="0" applyNumberFormat="1" applyFill="1" applyBorder="1" applyAlignment="1">
      <alignment horizontal="right"/>
    </xf>
    <xf numFmtId="1" fontId="0" fillId="3" borderId="18" xfId="0" applyNumberFormat="1" applyFill="1" applyBorder="1" applyAlignment="1">
      <alignment horizontal="left"/>
    </xf>
    <xf numFmtId="46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20" fontId="1" fillId="0" borderId="0" xfId="0" applyNumberFormat="1" applyFont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right" vertical="center"/>
    </xf>
    <xf numFmtId="1" fontId="3" fillId="0" borderId="2" xfId="0" applyNumberFormat="1" applyFont="1" applyBorder="1" applyAlignment="1">
      <alignment horizontal="center" vertical="center" wrapText="1"/>
    </xf>
    <xf numFmtId="1" fontId="3" fillId="0" borderId="8" xfId="0" applyNumberFormat="1" applyFont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right" vertical="center" wrapText="1"/>
    </xf>
    <xf numFmtId="1" fontId="0" fillId="0" borderId="1" xfId="0" applyNumberFormat="1" applyBorder="1" applyAlignment="1">
      <alignment horizontal="center"/>
    </xf>
    <xf numFmtId="1" fontId="0" fillId="0" borderId="4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" fontId="0" fillId="0" borderId="0" xfId="0" applyNumberFormat="1" applyAlignment="1">
      <alignment horizontal="right" vertical="center"/>
    </xf>
    <xf numFmtId="1" fontId="0" fillId="0" borderId="0" xfId="0" applyNumberFormat="1" applyAlignment="1">
      <alignment horizontal="center" vertical="center"/>
    </xf>
    <xf numFmtId="1" fontId="3" fillId="0" borderId="0" xfId="0" applyNumberFormat="1" applyFont="1" applyAlignment="1">
      <alignment horizontal="right" vertical="center" wrapText="1"/>
    </xf>
    <xf numFmtId="1" fontId="3" fillId="0" borderId="0" xfId="0" applyNumberFormat="1" applyFont="1" applyAlignment="1">
      <alignment horizontal="center"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U39"/>
  <sheetViews>
    <sheetView topLeftCell="A2" zoomScale="85" zoomScaleNormal="85" workbookViewId="0">
      <selection activeCell="H44" sqref="H44:H45"/>
    </sheetView>
  </sheetViews>
  <sheetFormatPr defaultRowHeight="15" x14ac:dyDescent="0.25"/>
  <cols>
    <col min="2" max="2" width="23.140625" bestFit="1" customWidth="1"/>
    <col min="6" max="6" width="10" bestFit="1" customWidth="1"/>
    <col min="11" max="11" width="15.140625" bestFit="1" customWidth="1"/>
    <col min="12" max="12" width="10.42578125" customWidth="1"/>
    <col min="13" max="13" width="3.85546875" bestFit="1" customWidth="1"/>
    <col min="14" max="14" width="2" bestFit="1" customWidth="1"/>
    <col min="15" max="15" width="7.5703125" bestFit="1" customWidth="1"/>
    <col min="16" max="16" width="8.5703125" bestFit="1" customWidth="1"/>
    <col min="19" max="19" width="10.140625" bestFit="1" customWidth="1"/>
  </cols>
  <sheetData>
    <row r="5" spans="1:21" x14ac:dyDescent="0.25">
      <c r="A5" s="2"/>
      <c r="B5" s="2"/>
      <c r="C5" s="2"/>
      <c r="D5" s="2"/>
      <c r="E5" s="2"/>
      <c r="F5" s="2"/>
      <c r="G5" s="2"/>
      <c r="H5" s="2"/>
      <c r="M5" s="13"/>
      <c r="N5" s="14"/>
      <c r="O5" s="2"/>
      <c r="P5" s="2"/>
      <c r="Q5" s="2"/>
      <c r="R5" s="2"/>
      <c r="S5" s="9"/>
      <c r="T5" s="2"/>
      <c r="U5" s="2"/>
    </row>
    <row r="6" spans="1:21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19</v>
      </c>
      <c r="G6" s="1" t="s">
        <v>17</v>
      </c>
      <c r="H6" s="3" t="s">
        <v>18</v>
      </c>
      <c r="N6" s="2"/>
      <c r="O6" s="2"/>
      <c r="P6" s="2"/>
      <c r="Q6" s="2"/>
      <c r="R6" s="2"/>
      <c r="S6" s="9"/>
      <c r="T6" s="2"/>
      <c r="U6" s="2"/>
    </row>
    <row r="7" spans="1:21" ht="24.95" customHeight="1" x14ac:dyDescent="0.25">
      <c r="A7" s="3">
        <v>1</v>
      </c>
      <c r="B7" s="1" t="s">
        <v>0</v>
      </c>
      <c r="C7" s="1">
        <v>5</v>
      </c>
      <c r="D7" s="1">
        <v>5</v>
      </c>
      <c r="E7" s="1">
        <v>0</v>
      </c>
      <c r="F7" s="4" t="s">
        <v>20</v>
      </c>
      <c r="G7" s="1" t="s">
        <v>21</v>
      </c>
      <c r="H7" s="3">
        <v>15</v>
      </c>
      <c r="I7" s="2"/>
      <c r="J7" s="15"/>
      <c r="K7" s="2"/>
      <c r="N7" s="2"/>
      <c r="O7" s="2"/>
      <c r="P7" s="2"/>
      <c r="Q7" s="2"/>
      <c r="R7" s="2"/>
      <c r="S7" s="9"/>
      <c r="T7" s="9"/>
      <c r="U7" s="2"/>
    </row>
    <row r="8" spans="1:21" ht="24.95" customHeight="1" x14ac:dyDescent="0.25">
      <c r="A8" s="3">
        <v>2</v>
      </c>
      <c r="B8" s="1" t="s">
        <v>3</v>
      </c>
      <c r="C8" s="1">
        <v>5</v>
      </c>
      <c r="D8" s="1">
        <v>4</v>
      </c>
      <c r="E8" s="1">
        <v>1</v>
      </c>
      <c r="F8" s="4" t="s">
        <v>25</v>
      </c>
      <c r="G8" s="1" t="s">
        <v>26</v>
      </c>
      <c r="H8" s="3">
        <v>12</v>
      </c>
      <c r="J8" s="15"/>
      <c r="K8" s="2"/>
      <c r="L8" s="2"/>
      <c r="M8" s="2"/>
      <c r="N8" s="2"/>
      <c r="O8" s="2"/>
      <c r="P8" s="2"/>
      <c r="Q8" s="2"/>
      <c r="R8" s="2"/>
      <c r="S8" s="9"/>
      <c r="T8" s="2"/>
      <c r="U8" s="2"/>
    </row>
    <row r="9" spans="1:21" ht="24.95" customHeight="1" x14ac:dyDescent="0.25">
      <c r="A9" s="3">
        <v>3</v>
      </c>
      <c r="B9" s="1" t="s">
        <v>7</v>
      </c>
      <c r="C9" s="1">
        <v>4</v>
      </c>
      <c r="D9" s="1">
        <v>4</v>
      </c>
      <c r="E9" s="1">
        <v>0</v>
      </c>
      <c r="F9" s="4" t="s">
        <v>24</v>
      </c>
      <c r="G9" s="4" t="s">
        <v>39</v>
      </c>
      <c r="H9" s="3">
        <v>12</v>
      </c>
      <c r="J9" s="16"/>
      <c r="K9" s="17"/>
      <c r="L9" s="16"/>
      <c r="M9" s="17"/>
      <c r="N9" s="2"/>
      <c r="O9" s="2"/>
      <c r="P9" s="2"/>
      <c r="Q9" s="2"/>
      <c r="R9" s="2"/>
      <c r="S9" s="9"/>
      <c r="T9" s="2"/>
      <c r="U9" s="2"/>
    </row>
    <row r="10" spans="1:21" ht="24.95" customHeight="1" x14ac:dyDescent="0.25">
      <c r="A10" s="3">
        <v>4</v>
      </c>
      <c r="B10" s="1" t="s">
        <v>10</v>
      </c>
      <c r="C10" s="1">
        <v>5</v>
      </c>
      <c r="D10" s="1">
        <v>3</v>
      </c>
      <c r="E10" s="1">
        <v>2</v>
      </c>
      <c r="F10" s="4" t="s">
        <v>22</v>
      </c>
      <c r="G10" s="4" t="s">
        <v>23</v>
      </c>
      <c r="H10" s="3">
        <v>9</v>
      </c>
      <c r="I10" s="2"/>
      <c r="J10" s="2"/>
      <c r="K10" s="2"/>
      <c r="L10" s="2"/>
      <c r="M10" s="2"/>
      <c r="N10" s="2"/>
      <c r="O10" s="9"/>
      <c r="P10" s="9"/>
      <c r="Q10" s="2"/>
      <c r="R10" s="2"/>
      <c r="S10" s="9"/>
      <c r="T10" s="9"/>
      <c r="U10" s="2"/>
    </row>
    <row r="11" spans="1:21" ht="24.95" customHeight="1" x14ac:dyDescent="0.25">
      <c r="A11" s="3">
        <v>5</v>
      </c>
      <c r="B11" s="1" t="s">
        <v>8</v>
      </c>
      <c r="C11" s="1">
        <v>5</v>
      </c>
      <c r="D11" s="1">
        <v>3</v>
      </c>
      <c r="E11" s="1">
        <v>2</v>
      </c>
      <c r="F11" s="4" t="s">
        <v>22</v>
      </c>
      <c r="G11" s="1" t="s">
        <v>27</v>
      </c>
      <c r="H11" s="3">
        <v>9</v>
      </c>
      <c r="J11" s="18"/>
      <c r="K11" s="2"/>
      <c r="L11" s="2"/>
      <c r="M11" s="2"/>
      <c r="N11" s="2"/>
      <c r="O11" s="2"/>
      <c r="P11" s="2"/>
      <c r="Q11" s="2"/>
      <c r="R11" s="2"/>
      <c r="S11" s="9"/>
      <c r="T11" s="9"/>
      <c r="U11" s="2"/>
    </row>
    <row r="12" spans="1:21" ht="24.95" customHeight="1" x14ac:dyDescent="0.25">
      <c r="A12" s="3">
        <v>6</v>
      </c>
      <c r="B12" s="7" t="s">
        <v>1</v>
      </c>
      <c r="C12" s="7">
        <v>5</v>
      </c>
      <c r="D12" s="7">
        <v>3</v>
      </c>
      <c r="E12" s="7">
        <v>2</v>
      </c>
      <c r="F12" s="8" t="s">
        <v>30</v>
      </c>
      <c r="G12" s="7" t="s">
        <v>31</v>
      </c>
      <c r="H12" s="12">
        <v>9</v>
      </c>
      <c r="J12" s="15"/>
      <c r="K12" s="2"/>
      <c r="L12" s="2"/>
      <c r="M12" s="2"/>
      <c r="N12" s="2"/>
      <c r="O12" s="2"/>
      <c r="P12" s="2"/>
      <c r="Q12" s="2"/>
      <c r="R12" s="2"/>
      <c r="S12" s="9"/>
      <c r="T12" s="2"/>
      <c r="U12" s="2"/>
    </row>
    <row r="13" spans="1:21" ht="24.95" customHeight="1" x14ac:dyDescent="0.25">
      <c r="A13" s="3">
        <v>7</v>
      </c>
      <c r="B13" s="1" t="s">
        <v>4</v>
      </c>
      <c r="C13" s="1">
        <v>5</v>
      </c>
      <c r="D13" s="1">
        <v>2</v>
      </c>
      <c r="E13" s="1">
        <v>3</v>
      </c>
      <c r="F13" s="4" t="s">
        <v>28</v>
      </c>
      <c r="G13" s="1" t="s">
        <v>29</v>
      </c>
      <c r="H13" s="3">
        <v>6</v>
      </c>
      <c r="J13" s="15"/>
      <c r="K13" s="2"/>
      <c r="L13" s="2"/>
      <c r="M13" s="2"/>
    </row>
    <row r="14" spans="1:21" ht="24.95" customHeight="1" x14ac:dyDescent="0.25">
      <c r="A14" s="3">
        <v>8</v>
      </c>
      <c r="B14" s="1" t="s">
        <v>6</v>
      </c>
      <c r="C14" s="1">
        <v>5</v>
      </c>
      <c r="D14" s="1">
        <v>2</v>
      </c>
      <c r="E14" s="1">
        <v>3</v>
      </c>
      <c r="F14" s="4" t="s">
        <v>28</v>
      </c>
      <c r="G14" s="4" t="s">
        <v>32</v>
      </c>
      <c r="H14" s="3">
        <v>6</v>
      </c>
      <c r="J14" s="15"/>
      <c r="K14" s="2"/>
      <c r="L14" s="2"/>
      <c r="M14" s="107"/>
      <c r="N14" s="106"/>
      <c r="O14" s="107"/>
      <c r="P14" s="107"/>
      <c r="Q14" s="107"/>
      <c r="R14" s="107"/>
      <c r="S14" s="107"/>
      <c r="T14" s="107"/>
    </row>
    <row r="15" spans="1:21" ht="24.75" customHeight="1" x14ac:dyDescent="0.25">
      <c r="A15" s="3">
        <v>9</v>
      </c>
      <c r="B15" s="1" t="s">
        <v>5</v>
      </c>
      <c r="C15" s="1">
        <v>5</v>
      </c>
      <c r="D15" s="1">
        <v>1</v>
      </c>
      <c r="E15" s="1">
        <v>4</v>
      </c>
      <c r="F15" s="4" t="s">
        <v>33</v>
      </c>
      <c r="G15" s="1" t="s">
        <v>34</v>
      </c>
      <c r="H15" s="3">
        <v>3</v>
      </c>
      <c r="I15" s="2"/>
      <c r="J15" s="15"/>
      <c r="K15" s="2"/>
      <c r="L15" s="2"/>
      <c r="M15" s="107"/>
      <c r="N15" s="106"/>
      <c r="O15" s="107"/>
      <c r="P15" s="107"/>
      <c r="Q15" s="107"/>
      <c r="R15" s="107"/>
      <c r="S15" s="107"/>
      <c r="T15" s="107"/>
    </row>
    <row r="16" spans="1:21" ht="24.95" customHeight="1" x14ac:dyDescent="0.25">
      <c r="A16" s="3">
        <v>10</v>
      </c>
      <c r="B16" s="1" t="s">
        <v>2</v>
      </c>
      <c r="C16" s="1">
        <v>5</v>
      </c>
      <c r="D16" s="1">
        <v>1</v>
      </c>
      <c r="E16" s="1">
        <v>4</v>
      </c>
      <c r="F16" s="4" t="s">
        <v>35</v>
      </c>
      <c r="G16" s="1" t="s">
        <v>36</v>
      </c>
      <c r="H16" s="3">
        <v>3</v>
      </c>
      <c r="I16" s="2"/>
      <c r="J16" s="18"/>
      <c r="K16" s="2"/>
      <c r="L16" s="2"/>
      <c r="M16" s="105"/>
      <c r="N16" s="108"/>
      <c r="O16" s="105"/>
      <c r="P16" s="105"/>
      <c r="Q16" s="105"/>
      <c r="R16" s="104"/>
      <c r="S16" s="104"/>
      <c r="T16" s="105"/>
    </row>
    <row r="17" spans="1:20" ht="24.95" customHeight="1" x14ac:dyDescent="0.25">
      <c r="A17" s="3">
        <v>11</v>
      </c>
      <c r="B17" s="1" t="s">
        <v>9</v>
      </c>
      <c r="C17" s="1">
        <v>5</v>
      </c>
      <c r="D17" s="1">
        <v>1</v>
      </c>
      <c r="E17" s="1">
        <v>4</v>
      </c>
      <c r="F17" s="4" t="s">
        <v>40</v>
      </c>
      <c r="G17" s="1" t="s">
        <v>41</v>
      </c>
      <c r="H17" s="3">
        <v>3</v>
      </c>
      <c r="I17" s="2"/>
      <c r="J17" s="15"/>
      <c r="K17" s="2"/>
      <c r="L17" s="2"/>
      <c r="M17" s="105"/>
      <c r="N17" s="108"/>
      <c r="O17" s="105"/>
      <c r="P17" s="105"/>
      <c r="Q17" s="105"/>
      <c r="R17" s="104"/>
      <c r="S17" s="104"/>
      <c r="T17" s="105"/>
    </row>
    <row r="18" spans="1:20" ht="24.95" customHeight="1" x14ac:dyDescent="0.25">
      <c r="A18" s="3">
        <v>12</v>
      </c>
      <c r="B18" s="1" t="s">
        <v>11</v>
      </c>
      <c r="C18" s="1">
        <v>4</v>
      </c>
      <c r="D18" s="1">
        <v>0</v>
      </c>
      <c r="E18" s="1">
        <v>4</v>
      </c>
      <c r="F18" s="4" t="s">
        <v>37</v>
      </c>
      <c r="G18" s="4" t="s">
        <v>38</v>
      </c>
      <c r="H18" s="3">
        <v>0</v>
      </c>
      <c r="J18" s="16"/>
      <c r="K18" s="2"/>
      <c r="L18" s="2"/>
      <c r="M18" s="105"/>
      <c r="N18" s="108"/>
      <c r="O18" s="105"/>
      <c r="P18" s="105"/>
      <c r="Q18" s="105"/>
      <c r="R18" s="104"/>
      <c r="S18" s="104"/>
      <c r="T18" s="105"/>
    </row>
    <row r="19" spans="1:20" ht="48" customHeight="1" x14ac:dyDescent="0.25">
      <c r="A19" s="3"/>
      <c r="B19" s="1"/>
      <c r="C19" s="1"/>
      <c r="D19" s="1"/>
      <c r="E19" s="1"/>
      <c r="F19" s="4"/>
      <c r="G19" s="4"/>
      <c r="H19" s="3"/>
      <c r="M19" s="105"/>
      <c r="N19" s="108"/>
      <c r="O19" s="105"/>
      <c r="P19" s="105"/>
      <c r="Q19" s="105"/>
      <c r="R19" s="104"/>
      <c r="S19" s="104"/>
      <c r="T19" s="105"/>
    </row>
    <row r="20" spans="1:20" x14ac:dyDescent="0.25">
      <c r="M20" s="105"/>
      <c r="N20" s="108"/>
      <c r="O20" s="105"/>
      <c r="P20" s="105"/>
      <c r="Q20" s="105"/>
      <c r="R20" s="104"/>
      <c r="S20" s="104"/>
      <c r="T20" s="105"/>
    </row>
    <row r="21" spans="1:20" ht="16.5" customHeight="1" x14ac:dyDescent="0.25">
      <c r="M21" s="105"/>
      <c r="N21" s="108"/>
      <c r="O21" s="105"/>
      <c r="P21" s="105"/>
      <c r="Q21" s="105"/>
      <c r="R21" s="104"/>
      <c r="S21" s="104"/>
      <c r="T21" s="105"/>
    </row>
    <row r="22" spans="1:20" ht="15" customHeight="1" x14ac:dyDescent="0.25">
      <c r="M22" s="105"/>
      <c r="N22" s="108"/>
      <c r="O22" s="105"/>
      <c r="P22" s="105"/>
      <c r="Q22" s="105"/>
      <c r="R22" s="104"/>
      <c r="S22" s="104"/>
      <c r="T22" s="105"/>
    </row>
    <row r="23" spans="1:20" ht="16.5" customHeight="1" x14ac:dyDescent="0.25">
      <c r="A23" s="2"/>
      <c r="B23" s="2"/>
      <c r="C23" s="2"/>
      <c r="D23" s="2"/>
      <c r="E23" s="2"/>
      <c r="F23" s="9"/>
      <c r="G23" s="2"/>
      <c r="H23" s="2"/>
      <c r="M23" s="105"/>
      <c r="N23" s="108"/>
      <c r="O23" s="105"/>
      <c r="P23" s="105"/>
      <c r="Q23" s="105"/>
      <c r="R23" s="104"/>
      <c r="S23" s="104"/>
      <c r="T23" s="105"/>
    </row>
    <row r="24" spans="1:20" ht="15" customHeight="1" x14ac:dyDescent="0.25">
      <c r="A24" s="2"/>
      <c r="B24" s="2"/>
      <c r="C24" s="2"/>
      <c r="D24" s="2"/>
      <c r="E24" s="2"/>
      <c r="F24" s="9"/>
      <c r="G24" s="2"/>
      <c r="H24" s="2"/>
      <c r="M24" s="105"/>
      <c r="N24" s="108"/>
      <c r="O24" s="105"/>
      <c r="P24" s="105"/>
      <c r="Q24" s="105"/>
      <c r="R24" s="104"/>
      <c r="S24" s="105"/>
      <c r="T24" s="105"/>
    </row>
    <row r="25" spans="1:20" ht="15" customHeight="1" x14ac:dyDescent="0.25">
      <c r="A25" s="2"/>
      <c r="B25" s="2"/>
      <c r="C25" s="2"/>
      <c r="D25" s="2"/>
      <c r="E25" s="2"/>
      <c r="F25" s="9"/>
      <c r="G25" s="9"/>
      <c r="H25" s="2"/>
      <c r="M25" s="105"/>
      <c r="N25" s="108"/>
      <c r="O25" s="105"/>
      <c r="P25" s="105"/>
      <c r="Q25" s="105"/>
      <c r="R25" s="104"/>
      <c r="S25" s="105"/>
      <c r="T25" s="105"/>
    </row>
    <row r="26" spans="1:20" ht="15" customHeight="1" x14ac:dyDescent="0.25">
      <c r="A26" s="2"/>
      <c r="B26" s="2"/>
      <c r="C26" s="2"/>
      <c r="D26" s="2"/>
      <c r="E26" s="2"/>
      <c r="F26" s="9"/>
      <c r="G26" s="9"/>
      <c r="H26" s="2"/>
      <c r="M26" s="105"/>
      <c r="N26" s="108"/>
      <c r="O26" s="105"/>
      <c r="P26" s="105"/>
      <c r="Q26" s="105"/>
      <c r="R26" s="104"/>
      <c r="S26" s="105"/>
      <c r="T26" s="105"/>
    </row>
    <row r="27" spans="1:20" ht="15" customHeight="1" x14ac:dyDescent="0.25">
      <c r="A27" s="2"/>
      <c r="B27" s="2"/>
      <c r="C27" s="2"/>
      <c r="D27" s="2"/>
      <c r="E27" s="2"/>
      <c r="F27" s="9"/>
      <c r="G27" s="2"/>
      <c r="H27" s="2"/>
      <c r="M27" s="105"/>
      <c r="N27" s="108"/>
      <c r="O27" s="105"/>
      <c r="P27" s="105"/>
      <c r="Q27" s="105"/>
      <c r="R27" s="104"/>
      <c r="S27" s="105"/>
      <c r="T27" s="105"/>
    </row>
    <row r="28" spans="1:20" ht="15" customHeight="1" x14ac:dyDescent="0.25">
      <c r="A28" s="2"/>
      <c r="B28" s="2"/>
      <c r="C28" s="2"/>
      <c r="D28" s="2"/>
      <c r="E28" s="2"/>
      <c r="F28" s="9"/>
      <c r="G28" s="2"/>
      <c r="H28" s="2"/>
      <c r="M28" s="5"/>
      <c r="N28" s="5"/>
      <c r="O28" s="5"/>
      <c r="P28" s="5"/>
      <c r="Q28" s="5"/>
      <c r="R28" s="6"/>
      <c r="S28" s="5"/>
      <c r="T28" s="5"/>
    </row>
    <row r="29" spans="1:20" ht="16.5" customHeight="1" x14ac:dyDescent="0.25">
      <c r="A29" s="2"/>
      <c r="B29" s="10"/>
      <c r="C29" s="10"/>
      <c r="D29" s="10"/>
      <c r="E29" s="10"/>
      <c r="F29" s="11"/>
      <c r="G29" s="10"/>
      <c r="H29" s="10"/>
      <c r="M29" s="5"/>
      <c r="N29" s="5"/>
      <c r="O29" s="5"/>
      <c r="P29" s="5"/>
      <c r="Q29" s="5"/>
      <c r="R29" s="6"/>
      <c r="S29" s="5"/>
      <c r="T29" s="5"/>
    </row>
    <row r="30" spans="1:20" ht="15" customHeight="1" x14ac:dyDescent="0.25">
      <c r="A30" s="2"/>
      <c r="B30" s="2"/>
      <c r="C30" s="2"/>
      <c r="D30" s="2"/>
      <c r="E30" s="2"/>
      <c r="F30" s="9"/>
      <c r="G30" s="9"/>
      <c r="H30" s="2"/>
      <c r="M30" s="105"/>
      <c r="N30" s="108"/>
      <c r="O30" s="105"/>
      <c r="P30" s="105"/>
      <c r="Q30" s="105"/>
      <c r="R30" s="104"/>
      <c r="S30" s="105"/>
      <c r="T30" s="105"/>
    </row>
    <row r="31" spans="1:20" ht="16.5" customHeight="1" x14ac:dyDescent="0.25">
      <c r="A31" s="2"/>
      <c r="B31" s="2"/>
      <c r="C31" s="2"/>
      <c r="D31" s="2"/>
      <c r="E31" s="2"/>
      <c r="F31" s="9"/>
      <c r="G31" s="2"/>
      <c r="H31" s="2"/>
      <c r="M31" s="105"/>
      <c r="N31" s="108"/>
      <c r="O31" s="105"/>
      <c r="P31" s="105"/>
      <c r="Q31" s="105"/>
      <c r="R31" s="104"/>
      <c r="S31" s="105"/>
      <c r="T31" s="105"/>
    </row>
    <row r="32" spans="1:20" ht="15" customHeight="1" x14ac:dyDescent="0.25">
      <c r="A32" s="2"/>
      <c r="B32" s="2"/>
      <c r="C32" s="2"/>
      <c r="D32" s="2"/>
      <c r="E32" s="2"/>
      <c r="F32" s="9"/>
      <c r="G32" s="2"/>
      <c r="H32" s="2"/>
      <c r="M32" s="105"/>
      <c r="N32" s="108"/>
      <c r="O32" s="105"/>
      <c r="P32" s="105"/>
      <c r="Q32" s="105"/>
      <c r="R32" s="104"/>
      <c r="S32" s="105"/>
      <c r="T32" s="105"/>
    </row>
    <row r="33" spans="1:20" ht="15" customHeight="1" x14ac:dyDescent="0.25">
      <c r="A33" s="2"/>
      <c r="B33" s="2"/>
      <c r="C33" s="2"/>
      <c r="D33" s="2"/>
      <c r="E33" s="2"/>
      <c r="F33" s="9"/>
      <c r="G33" s="2"/>
      <c r="H33" s="2"/>
      <c r="M33" s="105"/>
      <c r="N33" s="108"/>
      <c r="O33" s="105"/>
      <c r="P33" s="105"/>
      <c r="Q33" s="105"/>
      <c r="R33" s="104"/>
      <c r="S33" s="105"/>
      <c r="T33" s="105"/>
    </row>
    <row r="34" spans="1:20" ht="15" customHeight="1" x14ac:dyDescent="0.25">
      <c r="A34" s="2"/>
      <c r="B34" s="2"/>
      <c r="C34" s="2"/>
      <c r="D34" s="2"/>
      <c r="E34" s="2"/>
      <c r="F34" s="9"/>
      <c r="G34" s="9"/>
      <c r="H34" s="2"/>
      <c r="M34" s="105"/>
      <c r="N34" s="108"/>
      <c r="O34" s="105"/>
      <c r="P34" s="105"/>
      <c r="Q34" s="105"/>
      <c r="R34" s="109"/>
      <c r="S34" s="105"/>
      <c r="T34" s="105"/>
    </row>
    <row r="35" spans="1:20" ht="15" customHeight="1" x14ac:dyDescent="0.25">
      <c r="M35" s="105"/>
      <c r="N35" s="108"/>
      <c r="O35" s="105"/>
      <c r="P35" s="105"/>
      <c r="Q35" s="105"/>
      <c r="R35" s="109"/>
      <c r="S35" s="105"/>
      <c r="T35" s="105"/>
    </row>
    <row r="36" spans="1:20" x14ac:dyDescent="0.25">
      <c r="M36" s="105"/>
      <c r="N36" s="108"/>
      <c r="O36" s="105"/>
      <c r="P36" s="105"/>
      <c r="Q36" s="105"/>
      <c r="R36" s="109"/>
      <c r="S36" s="105"/>
      <c r="T36" s="105"/>
    </row>
    <row r="37" spans="1:20" ht="16.5" customHeight="1" x14ac:dyDescent="0.25">
      <c r="M37" s="105"/>
      <c r="N37" s="108"/>
      <c r="O37" s="105"/>
      <c r="P37" s="105"/>
      <c r="Q37" s="105"/>
      <c r="R37" s="109"/>
      <c r="S37" s="105"/>
      <c r="T37" s="105"/>
    </row>
    <row r="38" spans="1:20" ht="16.5" customHeight="1" x14ac:dyDescent="0.25">
      <c r="M38" s="105"/>
      <c r="N38" s="108"/>
      <c r="O38" s="105"/>
      <c r="P38" s="105"/>
      <c r="Q38" s="105"/>
      <c r="R38" s="109"/>
      <c r="S38" s="105"/>
      <c r="T38" s="105"/>
    </row>
    <row r="39" spans="1:20" x14ac:dyDescent="0.25">
      <c r="M39" s="105"/>
      <c r="N39" s="108"/>
      <c r="O39" s="105"/>
      <c r="P39" s="105"/>
      <c r="Q39" s="105"/>
      <c r="R39" s="109"/>
      <c r="S39" s="105"/>
      <c r="T39" s="105"/>
    </row>
  </sheetData>
  <mergeCells count="96">
    <mergeCell ref="T38:T39"/>
    <mergeCell ref="R38:R39"/>
    <mergeCell ref="P38:P39"/>
    <mergeCell ref="T36:T37"/>
    <mergeCell ref="M38:M39"/>
    <mergeCell ref="N38:N39"/>
    <mergeCell ref="O38:O39"/>
    <mergeCell ref="S36:S37"/>
    <mergeCell ref="Q36:Q37"/>
    <mergeCell ref="Q38:Q39"/>
    <mergeCell ref="S38:S39"/>
    <mergeCell ref="T34:T35"/>
    <mergeCell ref="M36:M37"/>
    <mergeCell ref="N36:N37"/>
    <mergeCell ref="O36:O37"/>
    <mergeCell ref="S34:S35"/>
    <mergeCell ref="Q34:Q35"/>
    <mergeCell ref="R34:R35"/>
    <mergeCell ref="R36:R37"/>
    <mergeCell ref="P36:P37"/>
    <mergeCell ref="M34:M35"/>
    <mergeCell ref="N34:N35"/>
    <mergeCell ref="O34:O35"/>
    <mergeCell ref="P34:P35"/>
    <mergeCell ref="S32:S33"/>
    <mergeCell ref="Q32:Q33"/>
    <mergeCell ref="T30:T31"/>
    <mergeCell ref="M32:M33"/>
    <mergeCell ref="N32:N33"/>
    <mergeCell ref="O32:O33"/>
    <mergeCell ref="S30:S31"/>
    <mergeCell ref="Q30:Q31"/>
    <mergeCell ref="M30:M31"/>
    <mergeCell ref="N30:N31"/>
    <mergeCell ref="O30:O31"/>
    <mergeCell ref="R32:R33"/>
    <mergeCell ref="P32:P33"/>
    <mergeCell ref="R30:R31"/>
    <mergeCell ref="P30:P31"/>
    <mergeCell ref="T32:T33"/>
    <mergeCell ref="T26:T27"/>
    <mergeCell ref="S26:S27"/>
    <mergeCell ref="Q26:Q27"/>
    <mergeCell ref="T24:T25"/>
    <mergeCell ref="M26:M27"/>
    <mergeCell ref="N26:N27"/>
    <mergeCell ref="O26:O27"/>
    <mergeCell ref="S24:S25"/>
    <mergeCell ref="Q24:Q25"/>
    <mergeCell ref="R26:R27"/>
    <mergeCell ref="P26:P27"/>
    <mergeCell ref="M24:M25"/>
    <mergeCell ref="N24:N25"/>
    <mergeCell ref="O24:O25"/>
    <mergeCell ref="R24:R25"/>
    <mergeCell ref="P24:P25"/>
    <mergeCell ref="M22:M23"/>
    <mergeCell ref="N22:N23"/>
    <mergeCell ref="O22:O23"/>
    <mergeCell ref="R22:R23"/>
    <mergeCell ref="P22:P23"/>
    <mergeCell ref="T18:T19"/>
    <mergeCell ref="T20:T21"/>
    <mergeCell ref="T22:T23"/>
    <mergeCell ref="R18:R19"/>
    <mergeCell ref="P18:P19"/>
    <mergeCell ref="S22:S23"/>
    <mergeCell ref="Q22:Q23"/>
    <mergeCell ref="T14:T15"/>
    <mergeCell ref="T16:T17"/>
    <mergeCell ref="M20:M21"/>
    <mergeCell ref="N20:N21"/>
    <mergeCell ref="O20:O21"/>
    <mergeCell ref="S18:S19"/>
    <mergeCell ref="Q18:Q19"/>
    <mergeCell ref="R20:R21"/>
    <mergeCell ref="P20:P21"/>
    <mergeCell ref="M18:M19"/>
    <mergeCell ref="N18:N19"/>
    <mergeCell ref="O18:O19"/>
    <mergeCell ref="S20:S21"/>
    <mergeCell ref="Q20:Q21"/>
    <mergeCell ref="M16:M17"/>
    <mergeCell ref="N16:N17"/>
    <mergeCell ref="N14:N15"/>
    <mergeCell ref="M14:M15"/>
    <mergeCell ref="R14:R15"/>
    <mergeCell ref="S14:S15"/>
    <mergeCell ref="Q14:Q15"/>
    <mergeCell ref="O14:O15"/>
    <mergeCell ref="P14:P15"/>
    <mergeCell ref="S16:S17"/>
    <mergeCell ref="Q16:Q17"/>
    <mergeCell ref="R16:R17"/>
    <mergeCell ref="P16:P17"/>
    <mergeCell ref="O16:O17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332"/>
  <sheetViews>
    <sheetView tabSelected="1" zoomScale="70" zoomScaleNormal="70" workbookViewId="0">
      <selection activeCell="AI36" sqref="AI36"/>
    </sheetView>
  </sheetViews>
  <sheetFormatPr defaultRowHeight="15" x14ac:dyDescent="0.25"/>
  <cols>
    <col min="1" max="1" width="5.5703125" style="22" bestFit="1" customWidth="1"/>
    <col min="2" max="2" width="5.7109375" style="22" customWidth="1"/>
    <col min="3" max="3" width="5.7109375" style="23" customWidth="1"/>
    <col min="4" max="4" width="5.7109375" style="24" customWidth="1"/>
    <col min="5" max="5" width="5.7109375" style="23" customWidth="1"/>
    <col min="6" max="6" width="2.7109375" style="21" customWidth="1"/>
    <col min="7" max="7" width="5.7109375" style="22" customWidth="1"/>
    <col min="8" max="8" width="5.7109375" style="23" customWidth="1"/>
    <col min="9" max="9" width="5.7109375" style="22" customWidth="1"/>
    <col min="10" max="10" width="5.7109375" style="23" customWidth="1"/>
    <col min="11" max="11" width="2.7109375" style="21" customWidth="1"/>
    <col min="12" max="12" width="5.7109375" style="22" customWidth="1"/>
    <col min="13" max="13" width="5.7109375" style="23" customWidth="1"/>
    <col min="14" max="14" width="5.7109375" style="22" customWidth="1"/>
    <col min="15" max="15" width="5.7109375" style="23" customWidth="1"/>
    <col min="16" max="16" width="2.7109375" style="21" customWidth="1"/>
    <col min="17" max="17" width="5.7109375" style="22" customWidth="1"/>
    <col min="18" max="18" width="5.7109375" style="23" customWidth="1"/>
    <col min="19" max="19" width="5.7109375" style="22" customWidth="1"/>
    <col min="20" max="20" width="5.7109375" style="23" customWidth="1"/>
    <col min="21" max="21" width="2.7109375" style="21" customWidth="1"/>
    <col min="22" max="22" width="5.7109375" style="22" customWidth="1"/>
    <col min="23" max="23" width="5.7109375" style="23" customWidth="1"/>
    <col min="24" max="24" width="5.7109375" style="22" customWidth="1"/>
    <col min="25" max="25" width="5.7109375" style="23" customWidth="1"/>
    <col min="26" max="26" width="2.7109375" style="21" customWidth="1"/>
    <col min="27" max="27" width="5.7109375" style="22" customWidth="1"/>
    <col min="28" max="28" width="5.7109375" style="23" customWidth="1"/>
    <col min="29" max="29" width="5.7109375" style="24" customWidth="1"/>
    <col min="30" max="30" width="5.7109375" style="23" customWidth="1"/>
    <col min="31" max="31" width="2.7109375" style="21" customWidth="1"/>
    <col min="32" max="32" width="5.7109375" style="22" customWidth="1"/>
    <col min="33" max="33" width="5.7109375" style="23" customWidth="1"/>
    <col min="34" max="34" width="5.7109375" style="22" customWidth="1"/>
    <col min="35" max="35" width="5.7109375" style="23" customWidth="1"/>
    <col min="36" max="36" width="2.7109375" style="22" customWidth="1"/>
    <col min="37" max="40" width="5.7109375" style="22" customWidth="1"/>
    <col min="41" max="41" width="2.7109375" style="22" customWidth="1"/>
    <col min="42" max="45" width="5.7109375" style="22" customWidth="1"/>
    <col min="46" max="46" width="2.7109375" style="22" customWidth="1"/>
    <col min="47" max="50" width="5.7109375" style="22" customWidth="1"/>
    <col min="51" max="16384" width="9.140625" style="22"/>
  </cols>
  <sheetData>
    <row r="1" spans="1:50" x14ac:dyDescent="0.25">
      <c r="A1" s="19"/>
      <c r="B1" s="120" t="s">
        <v>46</v>
      </c>
      <c r="C1" s="121"/>
      <c r="D1" s="121"/>
      <c r="E1" s="122"/>
      <c r="F1" s="20"/>
      <c r="G1" s="111" t="s">
        <v>54</v>
      </c>
      <c r="H1" s="112"/>
      <c r="I1" s="112"/>
      <c r="J1" s="113"/>
      <c r="K1" s="20"/>
      <c r="L1" s="111" t="s">
        <v>6</v>
      </c>
      <c r="M1" s="112"/>
      <c r="N1" s="112"/>
      <c r="O1" s="113"/>
      <c r="P1" s="20"/>
      <c r="Q1" s="111" t="s">
        <v>10</v>
      </c>
      <c r="R1" s="112"/>
      <c r="S1" s="112"/>
      <c r="T1" s="113"/>
      <c r="U1" s="20"/>
      <c r="V1" s="119" t="s">
        <v>7</v>
      </c>
      <c r="W1" s="119"/>
      <c r="X1" s="119"/>
      <c r="Y1" s="119"/>
      <c r="AA1" s="119" t="s">
        <v>11</v>
      </c>
      <c r="AB1" s="119"/>
      <c r="AC1" s="119"/>
      <c r="AD1" s="119"/>
      <c r="AF1" s="119" t="s">
        <v>55</v>
      </c>
      <c r="AG1" s="119"/>
      <c r="AH1" s="119"/>
      <c r="AI1" s="119"/>
      <c r="AJ1" s="21"/>
      <c r="AK1" s="119" t="s">
        <v>56</v>
      </c>
      <c r="AL1" s="119"/>
      <c r="AM1" s="119"/>
      <c r="AN1" s="119"/>
      <c r="AO1" s="21"/>
      <c r="AP1" s="119" t="s">
        <v>47</v>
      </c>
      <c r="AQ1" s="119"/>
      <c r="AR1" s="119"/>
      <c r="AS1" s="119"/>
      <c r="AT1" s="21"/>
      <c r="AU1" s="119"/>
      <c r="AV1" s="119"/>
      <c r="AW1" s="119"/>
      <c r="AX1" s="119"/>
    </row>
    <row r="2" spans="1:50" x14ac:dyDescent="0.25">
      <c r="A2" s="19">
        <v>1</v>
      </c>
      <c r="B2" s="81"/>
      <c r="C2" s="82"/>
      <c r="D2" s="83"/>
      <c r="E2" s="84"/>
      <c r="G2" s="61">
        <v>7</v>
      </c>
      <c r="H2" s="62">
        <v>9</v>
      </c>
      <c r="I2" s="59">
        <v>17</v>
      </c>
      <c r="J2" s="60">
        <v>21</v>
      </c>
      <c r="L2" s="92">
        <v>9</v>
      </c>
      <c r="M2" s="93">
        <v>8</v>
      </c>
      <c r="N2" s="94">
        <v>23</v>
      </c>
      <c r="O2" s="95">
        <v>20</v>
      </c>
      <c r="Q2" s="92">
        <v>8</v>
      </c>
      <c r="R2" s="93">
        <v>9</v>
      </c>
      <c r="S2" s="94">
        <v>20</v>
      </c>
      <c r="T2" s="95">
        <v>23</v>
      </c>
      <c r="V2" s="61">
        <v>5</v>
      </c>
      <c r="W2" s="62">
        <v>11</v>
      </c>
      <c r="X2" s="59">
        <v>16</v>
      </c>
      <c r="Y2" s="60">
        <v>21</v>
      </c>
      <c r="AA2" s="63">
        <v>11</v>
      </c>
      <c r="AB2" s="62">
        <v>5</v>
      </c>
      <c r="AC2" s="59">
        <v>21</v>
      </c>
      <c r="AD2" s="60">
        <v>16</v>
      </c>
      <c r="AF2" s="63">
        <v>1</v>
      </c>
      <c r="AG2" s="62">
        <v>15</v>
      </c>
      <c r="AH2" s="19">
        <v>5</v>
      </c>
      <c r="AI2" s="62">
        <v>30</v>
      </c>
      <c r="AJ2" s="21"/>
      <c r="AK2" s="63">
        <v>15</v>
      </c>
      <c r="AL2" s="62">
        <v>1</v>
      </c>
      <c r="AM2" s="19">
        <v>30</v>
      </c>
      <c r="AN2" s="62">
        <v>5</v>
      </c>
      <c r="AO2" s="21"/>
      <c r="AP2" s="63">
        <v>9</v>
      </c>
      <c r="AQ2" s="62">
        <v>7</v>
      </c>
      <c r="AR2" s="19">
        <v>21</v>
      </c>
      <c r="AS2" s="62">
        <v>17</v>
      </c>
      <c r="AT2" s="21"/>
      <c r="AU2" s="63"/>
      <c r="AV2" s="62"/>
      <c r="AW2" s="19"/>
      <c r="AX2" s="62"/>
    </row>
    <row r="3" spans="1:50" x14ac:dyDescent="0.25">
      <c r="A3" s="19">
        <v>2</v>
      </c>
      <c r="B3" s="57">
        <v>14</v>
      </c>
      <c r="C3" s="58">
        <v>2</v>
      </c>
      <c r="D3" s="59">
        <v>29</v>
      </c>
      <c r="E3" s="60">
        <v>10</v>
      </c>
      <c r="G3" s="85"/>
      <c r="H3" s="86"/>
      <c r="I3" s="83"/>
      <c r="J3" s="84"/>
      <c r="L3" s="61">
        <v>9</v>
      </c>
      <c r="M3" s="62">
        <v>8</v>
      </c>
      <c r="N3" s="59">
        <v>20</v>
      </c>
      <c r="O3" s="60">
        <v>18</v>
      </c>
      <c r="Q3" s="61">
        <v>13</v>
      </c>
      <c r="R3" s="62">
        <v>3</v>
      </c>
      <c r="S3" s="59">
        <v>26</v>
      </c>
      <c r="T3" s="60">
        <v>7</v>
      </c>
      <c r="V3" s="61">
        <v>2</v>
      </c>
      <c r="W3" s="62">
        <v>14</v>
      </c>
      <c r="X3" s="59">
        <v>10</v>
      </c>
      <c r="Y3" s="60">
        <v>29</v>
      </c>
      <c r="AA3" s="63">
        <v>8</v>
      </c>
      <c r="AB3" s="62">
        <v>9</v>
      </c>
      <c r="AC3" s="59">
        <v>18</v>
      </c>
      <c r="AD3" s="60">
        <v>20</v>
      </c>
      <c r="AF3" s="63">
        <v>3</v>
      </c>
      <c r="AG3" s="62">
        <v>13</v>
      </c>
      <c r="AH3" s="19">
        <v>7</v>
      </c>
      <c r="AI3" s="62">
        <v>26</v>
      </c>
      <c r="AJ3" s="21"/>
      <c r="AK3" s="63">
        <v>11</v>
      </c>
      <c r="AL3" s="62">
        <v>5</v>
      </c>
      <c r="AM3" s="19">
        <v>25</v>
      </c>
      <c r="AN3" s="62">
        <v>16</v>
      </c>
      <c r="AO3" s="21"/>
      <c r="AP3" s="63">
        <v>5</v>
      </c>
      <c r="AQ3" s="62">
        <v>11</v>
      </c>
      <c r="AR3" s="19">
        <v>16</v>
      </c>
      <c r="AS3" s="62">
        <v>25</v>
      </c>
      <c r="AT3" s="21"/>
      <c r="AU3" s="63"/>
      <c r="AV3" s="62"/>
      <c r="AW3" s="19"/>
      <c r="AX3" s="62"/>
    </row>
    <row r="4" spans="1:50" x14ac:dyDescent="0.25">
      <c r="A4" s="19">
        <v>3</v>
      </c>
      <c r="B4" s="57">
        <v>9</v>
      </c>
      <c r="C4" s="58">
        <v>7</v>
      </c>
      <c r="D4" s="59">
        <v>20</v>
      </c>
      <c r="E4" s="60">
        <v>16</v>
      </c>
      <c r="G4" s="92">
        <v>10</v>
      </c>
      <c r="H4" s="93">
        <v>6</v>
      </c>
      <c r="I4" s="94">
        <v>24</v>
      </c>
      <c r="J4" s="95">
        <v>16</v>
      </c>
      <c r="L4" s="61">
        <v>7</v>
      </c>
      <c r="M4" s="62">
        <v>9</v>
      </c>
      <c r="N4" s="59">
        <v>16</v>
      </c>
      <c r="O4" s="60">
        <v>20</v>
      </c>
      <c r="Q4" s="61">
        <v>6</v>
      </c>
      <c r="R4" s="62">
        <v>10</v>
      </c>
      <c r="S4" s="59">
        <v>13</v>
      </c>
      <c r="T4" s="60">
        <v>22</v>
      </c>
      <c r="V4" s="85"/>
      <c r="W4" s="86"/>
      <c r="X4" s="83"/>
      <c r="Y4" s="84"/>
      <c r="AA4" s="63">
        <v>6</v>
      </c>
      <c r="AB4" s="62">
        <v>10</v>
      </c>
      <c r="AC4" s="59">
        <v>20</v>
      </c>
      <c r="AD4" s="60">
        <v>20</v>
      </c>
      <c r="AF4" s="63">
        <v>10</v>
      </c>
      <c r="AG4" s="62">
        <v>6</v>
      </c>
      <c r="AH4" s="19">
        <v>20</v>
      </c>
      <c r="AI4" s="62">
        <v>20</v>
      </c>
      <c r="AJ4" s="21"/>
      <c r="AK4" s="96">
        <v>6</v>
      </c>
      <c r="AL4" s="93">
        <v>10</v>
      </c>
      <c r="AM4" s="97">
        <v>16</v>
      </c>
      <c r="AN4" s="93">
        <v>24</v>
      </c>
      <c r="AO4" s="21"/>
      <c r="AP4" s="63">
        <v>10</v>
      </c>
      <c r="AQ4" s="62">
        <v>6</v>
      </c>
      <c r="AR4" s="19">
        <v>22</v>
      </c>
      <c r="AS4" s="62">
        <v>13</v>
      </c>
      <c r="AT4" s="21"/>
      <c r="AU4" s="63"/>
      <c r="AV4" s="62"/>
      <c r="AW4" s="19"/>
      <c r="AX4" s="62"/>
    </row>
    <row r="5" spans="1:50" x14ac:dyDescent="0.25">
      <c r="A5" s="19">
        <v>4</v>
      </c>
      <c r="B5" s="98">
        <v>12</v>
      </c>
      <c r="C5" s="99">
        <v>4</v>
      </c>
      <c r="D5" s="94">
        <v>25</v>
      </c>
      <c r="E5" s="95">
        <v>12</v>
      </c>
      <c r="G5" s="61">
        <v>7</v>
      </c>
      <c r="H5" s="62">
        <v>9</v>
      </c>
      <c r="I5" s="59">
        <v>19</v>
      </c>
      <c r="J5" s="60">
        <v>23</v>
      </c>
      <c r="L5" s="92">
        <v>11</v>
      </c>
      <c r="M5" s="93">
        <v>5</v>
      </c>
      <c r="N5" s="94">
        <v>22</v>
      </c>
      <c r="O5" s="95">
        <v>13</v>
      </c>
      <c r="Q5" s="61">
        <v>9</v>
      </c>
      <c r="R5" s="62">
        <v>7</v>
      </c>
      <c r="S5" s="59">
        <v>23</v>
      </c>
      <c r="T5" s="60">
        <v>19</v>
      </c>
      <c r="V5" s="92">
        <v>5</v>
      </c>
      <c r="W5" s="93">
        <v>11</v>
      </c>
      <c r="X5" s="94">
        <v>13</v>
      </c>
      <c r="Y5" s="95">
        <v>22</v>
      </c>
      <c r="AA5" s="63">
        <v>3</v>
      </c>
      <c r="AB5" s="62">
        <v>13</v>
      </c>
      <c r="AC5" s="59">
        <v>10</v>
      </c>
      <c r="AD5" s="60">
        <v>28</v>
      </c>
      <c r="AF5" s="96">
        <v>4</v>
      </c>
      <c r="AG5" s="93">
        <v>12</v>
      </c>
      <c r="AH5" s="97">
        <v>12</v>
      </c>
      <c r="AI5" s="93">
        <v>25</v>
      </c>
      <c r="AJ5" s="21"/>
      <c r="AK5" s="87"/>
      <c r="AL5" s="86"/>
      <c r="AM5" s="88"/>
      <c r="AN5" s="86"/>
      <c r="AO5" s="21"/>
      <c r="AP5" s="63">
        <v>13</v>
      </c>
      <c r="AQ5" s="62">
        <v>3</v>
      </c>
      <c r="AR5" s="19">
        <v>28</v>
      </c>
      <c r="AS5" s="62">
        <v>10</v>
      </c>
      <c r="AT5" s="21"/>
      <c r="AU5" s="63"/>
      <c r="AV5" s="62"/>
      <c r="AW5" s="19"/>
      <c r="AX5" s="62"/>
    </row>
    <row r="6" spans="1:50" ht="15.75" x14ac:dyDescent="0.25">
      <c r="A6" s="19">
        <v>5</v>
      </c>
      <c r="B6" s="64">
        <v>10</v>
      </c>
      <c r="C6" s="65">
        <v>6</v>
      </c>
      <c r="D6" s="59">
        <v>18</v>
      </c>
      <c r="E6" s="60">
        <v>25</v>
      </c>
      <c r="G6" s="61">
        <v>12</v>
      </c>
      <c r="H6" s="62">
        <v>4</v>
      </c>
      <c r="I6" s="59">
        <v>27</v>
      </c>
      <c r="J6" s="60">
        <v>12</v>
      </c>
      <c r="L6" s="85"/>
      <c r="M6" s="86"/>
      <c r="N6" s="83"/>
      <c r="O6" s="84"/>
      <c r="Q6" s="61">
        <v>3</v>
      </c>
      <c r="R6" s="62">
        <v>13</v>
      </c>
      <c r="S6" s="59">
        <v>11</v>
      </c>
      <c r="T6" s="60">
        <v>27</v>
      </c>
      <c r="V6" s="61">
        <v>9</v>
      </c>
      <c r="W6" s="62">
        <v>8</v>
      </c>
      <c r="X6" s="59">
        <v>20</v>
      </c>
      <c r="Y6" s="60">
        <v>19</v>
      </c>
      <c r="AA6" s="63">
        <v>4</v>
      </c>
      <c r="AB6" s="62">
        <v>12</v>
      </c>
      <c r="AC6" s="59">
        <v>12</v>
      </c>
      <c r="AD6" s="60">
        <v>27</v>
      </c>
      <c r="AF6" s="96">
        <v>8</v>
      </c>
      <c r="AG6" s="93">
        <v>9</v>
      </c>
      <c r="AH6" s="97">
        <v>19</v>
      </c>
      <c r="AI6" s="93">
        <v>20</v>
      </c>
      <c r="AJ6" s="21"/>
      <c r="AK6" s="63">
        <v>13</v>
      </c>
      <c r="AL6" s="62">
        <v>3</v>
      </c>
      <c r="AM6" s="19">
        <v>27</v>
      </c>
      <c r="AN6" s="62">
        <v>11</v>
      </c>
      <c r="AO6" s="21"/>
      <c r="AP6" s="63">
        <v>6</v>
      </c>
      <c r="AQ6" s="62">
        <v>10</v>
      </c>
      <c r="AR6" s="19">
        <v>18</v>
      </c>
      <c r="AS6" s="62">
        <v>25</v>
      </c>
      <c r="AT6" s="21"/>
      <c r="AU6" s="63"/>
      <c r="AV6" s="62"/>
      <c r="AW6" s="19"/>
      <c r="AX6" s="62"/>
    </row>
    <row r="7" spans="1:50" x14ac:dyDescent="0.25">
      <c r="A7" s="19">
        <v>6</v>
      </c>
      <c r="B7" s="57">
        <v>8</v>
      </c>
      <c r="C7" s="58">
        <v>9</v>
      </c>
      <c r="D7" s="59">
        <v>19</v>
      </c>
      <c r="E7" s="60">
        <v>22</v>
      </c>
      <c r="G7" s="61">
        <v>9</v>
      </c>
      <c r="H7" s="62">
        <v>8</v>
      </c>
      <c r="I7" s="59">
        <v>22</v>
      </c>
      <c r="J7" s="60">
        <v>19</v>
      </c>
      <c r="L7" s="61">
        <v>13</v>
      </c>
      <c r="M7" s="62">
        <v>3</v>
      </c>
      <c r="N7" s="59">
        <v>27</v>
      </c>
      <c r="O7" s="60">
        <v>11</v>
      </c>
      <c r="Q7" s="85"/>
      <c r="R7" s="86"/>
      <c r="S7" s="83"/>
      <c r="T7" s="84"/>
      <c r="V7" s="61">
        <v>5</v>
      </c>
      <c r="W7" s="62">
        <v>11</v>
      </c>
      <c r="X7" s="59">
        <v>16</v>
      </c>
      <c r="Y7" s="60">
        <v>24</v>
      </c>
      <c r="AA7" s="63">
        <v>4</v>
      </c>
      <c r="AB7" s="62">
        <v>12</v>
      </c>
      <c r="AC7" s="59">
        <v>10</v>
      </c>
      <c r="AD7" s="60">
        <v>26</v>
      </c>
      <c r="AF7" s="63">
        <v>3</v>
      </c>
      <c r="AG7" s="62">
        <v>13</v>
      </c>
      <c r="AH7" s="19">
        <v>11</v>
      </c>
      <c r="AI7" s="62">
        <v>27</v>
      </c>
      <c r="AJ7" s="21"/>
      <c r="AK7" s="63">
        <v>12</v>
      </c>
      <c r="AL7" s="62">
        <v>4</v>
      </c>
      <c r="AM7" s="19">
        <v>26</v>
      </c>
      <c r="AN7" s="62">
        <v>10</v>
      </c>
      <c r="AO7" s="21"/>
      <c r="AP7" s="63">
        <v>11</v>
      </c>
      <c r="AQ7" s="62">
        <v>5</v>
      </c>
      <c r="AR7" s="19">
        <v>24</v>
      </c>
      <c r="AS7" s="62">
        <v>16</v>
      </c>
      <c r="AT7" s="21"/>
      <c r="AU7" s="63"/>
      <c r="AV7" s="62"/>
      <c r="AW7" s="19"/>
      <c r="AX7" s="62"/>
    </row>
    <row r="8" spans="1:50" x14ac:dyDescent="0.25">
      <c r="A8" s="19">
        <v>7</v>
      </c>
      <c r="B8" s="57">
        <v>6</v>
      </c>
      <c r="C8" s="58">
        <v>10</v>
      </c>
      <c r="D8" s="59">
        <v>22</v>
      </c>
      <c r="E8" s="60">
        <v>14</v>
      </c>
      <c r="G8" s="61">
        <v>12</v>
      </c>
      <c r="H8" s="62">
        <v>4</v>
      </c>
      <c r="I8" s="59">
        <v>25</v>
      </c>
      <c r="J8" s="60">
        <v>10</v>
      </c>
      <c r="L8" s="61">
        <v>12</v>
      </c>
      <c r="M8" s="62">
        <v>4</v>
      </c>
      <c r="N8" s="59">
        <v>27</v>
      </c>
      <c r="O8" s="60">
        <v>13</v>
      </c>
      <c r="Q8" s="92">
        <v>11</v>
      </c>
      <c r="R8" s="93">
        <v>5</v>
      </c>
      <c r="S8" s="94">
        <v>22</v>
      </c>
      <c r="T8" s="95">
        <v>11</v>
      </c>
      <c r="V8" s="61">
        <v>4</v>
      </c>
      <c r="W8" s="62">
        <v>12</v>
      </c>
      <c r="X8" s="59">
        <v>10</v>
      </c>
      <c r="Y8" s="60">
        <v>25</v>
      </c>
      <c r="AA8" s="96">
        <v>5</v>
      </c>
      <c r="AB8" s="93">
        <v>11</v>
      </c>
      <c r="AC8" s="94">
        <v>11</v>
      </c>
      <c r="AD8" s="95">
        <v>22</v>
      </c>
      <c r="AF8" s="87"/>
      <c r="AG8" s="86"/>
      <c r="AH8" s="88"/>
      <c r="AI8" s="86"/>
      <c r="AJ8" s="21"/>
      <c r="AK8" s="63">
        <v>10</v>
      </c>
      <c r="AL8" s="62">
        <v>6</v>
      </c>
      <c r="AM8" s="19">
        <v>22</v>
      </c>
      <c r="AN8" s="62">
        <v>14</v>
      </c>
      <c r="AO8" s="21"/>
      <c r="AP8" s="63">
        <v>4</v>
      </c>
      <c r="AQ8" s="62">
        <v>12</v>
      </c>
      <c r="AR8" s="19">
        <v>13</v>
      </c>
      <c r="AS8" s="62">
        <v>27</v>
      </c>
      <c r="AT8" s="21"/>
      <c r="AU8" s="63"/>
      <c r="AV8" s="62"/>
      <c r="AW8" s="19"/>
      <c r="AX8" s="62"/>
    </row>
    <row r="9" spans="1:50" x14ac:dyDescent="0.25">
      <c r="A9" s="19">
        <v>8</v>
      </c>
      <c r="B9" s="57">
        <v>10</v>
      </c>
      <c r="C9" s="58">
        <v>6</v>
      </c>
      <c r="D9" s="59">
        <v>23</v>
      </c>
      <c r="E9" s="60">
        <v>16</v>
      </c>
      <c r="G9" s="61">
        <v>13</v>
      </c>
      <c r="H9" s="62">
        <v>3</v>
      </c>
      <c r="I9" s="59">
        <v>27</v>
      </c>
      <c r="J9" s="60">
        <v>8</v>
      </c>
      <c r="L9" s="61">
        <v>3</v>
      </c>
      <c r="M9" s="62">
        <v>13</v>
      </c>
      <c r="N9" s="59">
        <v>8</v>
      </c>
      <c r="O9" s="60">
        <v>27</v>
      </c>
      <c r="Q9" s="61">
        <v>6</v>
      </c>
      <c r="R9" s="62">
        <v>10</v>
      </c>
      <c r="S9" s="59">
        <v>16</v>
      </c>
      <c r="T9" s="60">
        <v>23</v>
      </c>
      <c r="V9" s="61">
        <v>1</v>
      </c>
      <c r="W9" s="62">
        <v>15</v>
      </c>
      <c r="X9" s="59">
        <v>6</v>
      </c>
      <c r="Y9" s="60">
        <v>31</v>
      </c>
      <c r="AA9" s="87"/>
      <c r="AB9" s="86"/>
      <c r="AC9" s="83"/>
      <c r="AD9" s="84"/>
      <c r="AF9" s="63">
        <v>8</v>
      </c>
      <c r="AG9" s="62">
        <v>9</v>
      </c>
      <c r="AH9" s="19">
        <v>18</v>
      </c>
      <c r="AI9" s="62">
        <v>19</v>
      </c>
      <c r="AJ9" s="21"/>
      <c r="AK9" s="63">
        <v>15</v>
      </c>
      <c r="AL9" s="62">
        <v>1</v>
      </c>
      <c r="AM9" s="19">
        <v>31</v>
      </c>
      <c r="AN9" s="62">
        <v>6</v>
      </c>
      <c r="AO9" s="21"/>
      <c r="AP9" s="63">
        <v>9</v>
      </c>
      <c r="AQ9" s="62">
        <v>8</v>
      </c>
      <c r="AR9" s="19">
        <v>19</v>
      </c>
      <c r="AS9" s="62">
        <v>18</v>
      </c>
      <c r="AT9" s="21"/>
      <c r="AU9" s="63"/>
      <c r="AV9" s="62"/>
      <c r="AW9" s="19"/>
      <c r="AX9" s="62"/>
    </row>
    <row r="10" spans="1:50" ht="15.75" thickBot="1" x14ac:dyDescent="0.3">
      <c r="A10" s="54">
        <v>9</v>
      </c>
      <c r="B10" s="66">
        <v>7</v>
      </c>
      <c r="C10" s="67">
        <v>9</v>
      </c>
      <c r="D10" s="68">
        <v>20</v>
      </c>
      <c r="E10" s="69">
        <v>19</v>
      </c>
      <c r="F10" s="70"/>
      <c r="G10" s="71">
        <v>14</v>
      </c>
      <c r="H10" s="72">
        <v>2</v>
      </c>
      <c r="I10" s="68">
        <v>29</v>
      </c>
      <c r="J10" s="69">
        <v>9</v>
      </c>
      <c r="K10" s="70"/>
      <c r="L10" s="71">
        <v>5</v>
      </c>
      <c r="M10" s="72">
        <v>11</v>
      </c>
      <c r="N10" s="68">
        <v>15</v>
      </c>
      <c r="O10" s="69">
        <v>23</v>
      </c>
      <c r="P10" s="70"/>
      <c r="Q10" s="71">
        <v>11</v>
      </c>
      <c r="R10" s="72">
        <v>5</v>
      </c>
      <c r="S10" s="68">
        <v>23</v>
      </c>
      <c r="T10" s="69">
        <v>13</v>
      </c>
      <c r="U10" s="70"/>
      <c r="V10" s="71">
        <v>5</v>
      </c>
      <c r="W10" s="72">
        <v>11</v>
      </c>
      <c r="X10" s="68">
        <v>13</v>
      </c>
      <c r="Y10" s="69">
        <v>23</v>
      </c>
      <c r="Z10" s="70"/>
      <c r="AA10" s="73">
        <v>9</v>
      </c>
      <c r="AB10" s="72">
        <v>7</v>
      </c>
      <c r="AC10" s="68">
        <v>19</v>
      </c>
      <c r="AD10" s="69">
        <v>20</v>
      </c>
      <c r="AE10" s="70"/>
      <c r="AF10" s="73">
        <v>2</v>
      </c>
      <c r="AG10" s="72">
        <v>14</v>
      </c>
      <c r="AH10" s="54">
        <v>9</v>
      </c>
      <c r="AI10" s="72">
        <v>29</v>
      </c>
      <c r="AJ10" s="70"/>
      <c r="AK10" s="73">
        <v>11</v>
      </c>
      <c r="AL10" s="72">
        <v>5</v>
      </c>
      <c r="AM10" s="54">
        <v>23</v>
      </c>
      <c r="AN10" s="72">
        <v>15</v>
      </c>
      <c r="AO10" s="70"/>
      <c r="AP10" s="89"/>
      <c r="AQ10" s="90"/>
      <c r="AR10" s="91"/>
      <c r="AS10" s="90"/>
      <c r="AT10" s="70"/>
      <c r="AU10" s="73"/>
      <c r="AV10" s="72"/>
      <c r="AW10" s="54"/>
      <c r="AX10" s="72"/>
    </row>
    <row r="11" spans="1:50" ht="15.75" thickTop="1" x14ac:dyDescent="0.25">
      <c r="A11" s="55">
        <v>10</v>
      </c>
      <c r="B11" s="100"/>
      <c r="C11" s="101"/>
      <c r="D11" s="102"/>
      <c r="E11" s="103"/>
      <c r="F11" s="76"/>
      <c r="G11" s="77">
        <v>9</v>
      </c>
      <c r="H11" s="78">
        <v>8</v>
      </c>
      <c r="I11" s="74">
        <v>20</v>
      </c>
      <c r="J11" s="75">
        <v>20</v>
      </c>
      <c r="K11" s="76"/>
      <c r="L11" s="77">
        <v>6</v>
      </c>
      <c r="M11" s="78">
        <v>10</v>
      </c>
      <c r="N11" s="74">
        <v>17</v>
      </c>
      <c r="O11" s="75">
        <v>23</v>
      </c>
      <c r="P11" s="76"/>
      <c r="Q11" s="77">
        <v>10</v>
      </c>
      <c r="R11" s="78">
        <v>6</v>
      </c>
      <c r="S11" s="74">
        <v>23</v>
      </c>
      <c r="T11" s="75">
        <v>17</v>
      </c>
      <c r="U11" s="76"/>
      <c r="V11" s="77">
        <v>6</v>
      </c>
      <c r="W11" s="78">
        <v>10</v>
      </c>
      <c r="X11" s="74">
        <v>15</v>
      </c>
      <c r="Y11" s="75">
        <v>23</v>
      </c>
      <c r="Z11" s="76"/>
      <c r="AA11" s="79">
        <v>10</v>
      </c>
      <c r="AB11" s="78">
        <v>6</v>
      </c>
      <c r="AC11" s="74">
        <v>23</v>
      </c>
      <c r="AD11" s="75">
        <v>15</v>
      </c>
      <c r="AE11" s="76"/>
      <c r="AF11" s="79">
        <v>5</v>
      </c>
      <c r="AG11" s="78">
        <v>11</v>
      </c>
      <c r="AH11" s="55">
        <v>15</v>
      </c>
      <c r="AI11" s="78">
        <v>24</v>
      </c>
      <c r="AJ11" s="76"/>
      <c r="AK11" s="79">
        <v>11</v>
      </c>
      <c r="AL11" s="78">
        <v>5</v>
      </c>
      <c r="AM11" s="55">
        <v>24</v>
      </c>
      <c r="AN11" s="78">
        <v>15</v>
      </c>
      <c r="AO11" s="76"/>
      <c r="AP11" s="79">
        <v>8</v>
      </c>
      <c r="AQ11" s="78">
        <v>9</v>
      </c>
      <c r="AR11" s="55">
        <v>20</v>
      </c>
      <c r="AS11" s="78">
        <v>20</v>
      </c>
      <c r="AT11" s="76"/>
      <c r="AU11" s="79"/>
      <c r="AV11" s="78"/>
      <c r="AW11" s="55"/>
      <c r="AX11" s="78"/>
    </row>
    <row r="12" spans="1:50" x14ac:dyDescent="0.25">
      <c r="A12" s="19">
        <v>11</v>
      </c>
      <c r="B12" s="57">
        <v>12</v>
      </c>
      <c r="C12" s="58">
        <v>4</v>
      </c>
      <c r="D12" s="59">
        <v>26</v>
      </c>
      <c r="E12" s="60">
        <v>11</v>
      </c>
      <c r="G12" s="85"/>
      <c r="H12" s="86"/>
      <c r="I12" s="83"/>
      <c r="J12" s="84"/>
      <c r="L12" s="61">
        <v>13</v>
      </c>
      <c r="M12" s="62">
        <v>3</v>
      </c>
      <c r="N12" s="59">
        <v>28</v>
      </c>
      <c r="O12" s="60">
        <v>13</v>
      </c>
      <c r="Q12" s="92">
        <v>13</v>
      </c>
      <c r="R12" s="93">
        <v>3</v>
      </c>
      <c r="S12" s="94">
        <v>28</v>
      </c>
      <c r="T12" s="95">
        <v>9</v>
      </c>
      <c r="V12" s="61">
        <v>4</v>
      </c>
      <c r="W12" s="62">
        <v>12</v>
      </c>
      <c r="X12" s="59">
        <v>11</v>
      </c>
      <c r="Y12" s="60">
        <v>26</v>
      </c>
      <c r="AA12" s="63">
        <v>3</v>
      </c>
      <c r="AB12" s="62">
        <v>13</v>
      </c>
      <c r="AC12" s="59">
        <v>13</v>
      </c>
      <c r="AD12" s="60">
        <v>28</v>
      </c>
      <c r="AF12" s="96">
        <v>3</v>
      </c>
      <c r="AG12" s="93">
        <v>13</v>
      </c>
      <c r="AH12" s="97">
        <v>9</v>
      </c>
      <c r="AI12" s="93">
        <v>28</v>
      </c>
      <c r="AJ12" s="21"/>
      <c r="AK12" s="63">
        <v>6</v>
      </c>
      <c r="AL12" s="62">
        <v>10</v>
      </c>
      <c r="AM12" s="19">
        <v>18</v>
      </c>
      <c r="AN12" s="62">
        <v>23</v>
      </c>
      <c r="AO12" s="21"/>
      <c r="AP12" s="63">
        <v>10</v>
      </c>
      <c r="AQ12" s="62">
        <v>6</v>
      </c>
      <c r="AR12" s="19">
        <v>23</v>
      </c>
      <c r="AS12" s="62">
        <v>18</v>
      </c>
      <c r="AT12" s="21"/>
      <c r="AU12" s="63"/>
      <c r="AV12" s="62"/>
      <c r="AW12" s="19"/>
      <c r="AX12" s="62"/>
    </row>
    <row r="13" spans="1:50" x14ac:dyDescent="0.25">
      <c r="A13" s="19">
        <v>12</v>
      </c>
      <c r="B13" s="59">
        <v>5</v>
      </c>
      <c r="C13" s="62">
        <v>11</v>
      </c>
      <c r="D13" s="59">
        <v>13</v>
      </c>
      <c r="E13" s="60">
        <v>26</v>
      </c>
      <c r="G13" s="61">
        <v>7</v>
      </c>
      <c r="H13" s="62">
        <v>9</v>
      </c>
      <c r="I13" s="59">
        <v>19</v>
      </c>
      <c r="J13" s="60">
        <v>24</v>
      </c>
      <c r="L13" s="61">
        <v>11</v>
      </c>
      <c r="M13" s="62">
        <v>5</v>
      </c>
      <c r="N13" s="59">
        <v>26</v>
      </c>
      <c r="O13" s="60">
        <v>13</v>
      </c>
      <c r="Q13" s="61">
        <v>9</v>
      </c>
      <c r="R13" s="62">
        <v>7</v>
      </c>
      <c r="S13" s="59">
        <v>24</v>
      </c>
      <c r="T13" s="60">
        <v>16</v>
      </c>
      <c r="V13" s="85"/>
      <c r="W13" s="86"/>
      <c r="X13" s="83"/>
      <c r="Y13" s="84"/>
      <c r="AA13" s="63">
        <v>7</v>
      </c>
      <c r="AB13" s="62">
        <v>9</v>
      </c>
      <c r="AC13" s="59">
        <v>19</v>
      </c>
      <c r="AD13" s="60">
        <v>22</v>
      </c>
      <c r="AF13" s="63">
        <v>9</v>
      </c>
      <c r="AG13" s="62">
        <v>7</v>
      </c>
      <c r="AH13" s="19">
        <v>22</v>
      </c>
      <c r="AI13" s="62">
        <v>19</v>
      </c>
      <c r="AJ13" s="21"/>
      <c r="AK13" s="63">
        <v>9</v>
      </c>
      <c r="AL13" s="62">
        <v>7</v>
      </c>
      <c r="AM13" s="19">
        <v>24</v>
      </c>
      <c r="AN13" s="62">
        <v>19</v>
      </c>
      <c r="AO13" s="21"/>
      <c r="AP13" s="63">
        <v>7</v>
      </c>
      <c r="AQ13" s="62">
        <v>9</v>
      </c>
      <c r="AR13" s="19">
        <v>16</v>
      </c>
      <c r="AS13" s="62">
        <v>24</v>
      </c>
      <c r="AT13" s="21"/>
      <c r="AU13" s="63"/>
      <c r="AV13" s="62"/>
      <c r="AW13" s="19"/>
      <c r="AX13" s="62"/>
    </row>
    <row r="14" spans="1:50" x14ac:dyDescent="0.25">
      <c r="A14" s="19">
        <v>13</v>
      </c>
      <c r="B14" s="59">
        <v>11</v>
      </c>
      <c r="C14" s="62">
        <v>5</v>
      </c>
      <c r="D14" s="59">
        <v>24</v>
      </c>
      <c r="E14" s="60">
        <v>14</v>
      </c>
      <c r="G14" s="61">
        <v>11</v>
      </c>
      <c r="H14" s="62">
        <v>5</v>
      </c>
      <c r="I14" s="59">
        <v>27</v>
      </c>
      <c r="J14" s="60">
        <v>11</v>
      </c>
      <c r="L14" s="61">
        <v>10</v>
      </c>
      <c r="M14" s="62">
        <v>6</v>
      </c>
      <c r="N14" s="59">
        <v>23</v>
      </c>
      <c r="O14" s="60">
        <v>14</v>
      </c>
      <c r="Q14" s="61">
        <v>5</v>
      </c>
      <c r="R14" s="62">
        <v>11</v>
      </c>
      <c r="S14" s="59">
        <v>12</v>
      </c>
      <c r="T14" s="60">
        <v>27</v>
      </c>
      <c r="V14" s="61">
        <v>6</v>
      </c>
      <c r="W14" s="62">
        <v>10</v>
      </c>
      <c r="X14" s="59">
        <v>14</v>
      </c>
      <c r="Y14" s="60">
        <v>23</v>
      </c>
      <c r="AA14" s="63">
        <v>10</v>
      </c>
      <c r="AB14" s="62">
        <v>6</v>
      </c>
      <c r="AC14" s="59">
        <v>22</v>
      </c>
      <c r="AD14" s="60">
        <v>17</v>
      </c>
      <c r="AF14" s="63">
        <v>5</v>
      </c>
      <c r="AG14" s="62">
        <v>11</v>
      </c>
      <c r="AH14" s="19">
        <v>14</v>
      </c>
      <c r="AI14" s="62">
        <v>24</v>
      </c>
      <c r="AJ14" s="21"/>
      <c r="AK14" s="87"/>
      <c r="AL14" s="86"/>
      <c r="AM14" s="88"/>
      <c r="AN14" s="86"/>
      <c r="AO14" s="21"/>
      <c r="AP14" s="63">
        <v>6</v>
      </c>
      <c r="AQ14" s="62">
        <v>10</v>
      </c>
      <c r="AR14" s="19">
        <v>17</v>
      </c>
      <c r="AS14" s="62">
        <v>22</v>
      </c>
      <c r="AT14" s="21"/>
      <c r="AU14" s="63"/>
      <c r="AV14" s="62"/>
      <c r="AW14" s="19"/>
      <c r="AX14" s="62"/>
    </row>
    <row r="15" spans="1:50" x14ac:dyDescent="0.25">
      <c r="A15" s="19">
        <v>14</v>
      </c>
      <c r="B15" s="59">
        <v>9</v>
      </c>
      <c r="C15" s="62">
        <v>7</v>
      </c>
      <c r="D15" s="59">
        <v>21</v>
      </c>
      <c r="E15" s="60">
        <v>19</v>
      </c>
      <c r="G15" s="61">
        <v>13</v>
      </c>
      <c r="H15" s="62">
        <v>3</v>
      </c>
      <c r="I15" s="59">
        <v>29</v>
      </c>
      <c r="J15" s="60">
        <v>9</v>
      </c>
      <c r="L15" s="85"/>
      <c r="M15" s="86"/>
      <c r="N15" s="83"/>
      <c r="O15" s="84"/>
      <c r="Q15" s="92">
        <v>8</v>
      </c>
      <c r="R15" s="93">
        <v>9</v>
      </c>
      <c r="S15" s="94">
        <v>21</v>
      </c>
      <c r="T15" s="95">
        <v>20</v>
      </c>
      <c r="V15" s="92">
        <v>5</v>
      </c>
      <c r="W15" s="93">
        <v>11</v>
      </c>
      <c r="X15" s="94">
        <v>14</v>
      </c>
      <c r="Y15" s="95">
        <v>26</v>
      </c>
      <c r="AA15" s="63">
        <v>3</v>
      </c>
      <c r="AB15" s="62">
        <v>13</v>
      </c>
      <c r="AC15" s="59">
        <v>9</v>
      </c>
      <c r="AD15" s="60">
        <v>29</v>
      </c>
      <c r="AF15" s="96">
        <v>11</v>
      </c>
      <c r="AG15" s="93">
        <v>5</v>
      </c>
      <c r="AH15" s="97">
        <v>26</v>
      </c>
      <c r="AI15" s="93">
        <v>14</v>
      </c>
      <c r="AJ15" s="21"/>
      <c r="AK15" s="96">
        <v>9</v>
      </c>
      <c r="AL15" s="93">
        <v>8</v>
      </c>
      <c r="AM15" s="97">
        <v>20</v>
      </c>
      <c r="AN15" s="93">
        <v>21</v>
      </c>
      <c r="AO15" s="21"/>
      <c r="AP15" s="63">
        <v>7</v>
      </c>
      <c r="AQ15" s="62">
        <v>9</v>
      </c>
      <c r="AR15" s="19">
        <v>19</v>
      </c>
      <c r="AS15" s="62">
        <v>21</v>
      </c>
      <c r="AT15" s="21"/>
      <c r="AU15" s="63"/>
      <c r="AV15" s="62"/>
      <c r="AW15" s="19"/>
      <c r="AX15" s="62"/>
    </row>
    <row r="16" spans="1:50" x14ac:dyDescent="0.25">
      <c r="A16" s="19">
        <v>15</v>
      </c>
      <c r="B16" s="59">
        <v>6</v>
      </c>
      <c r="C16" s="62">
        <v>10</v>
      </c>
      <c r="D16" s="59">
        <v>16</v>
      </c>
      <c r="E16" s="60">
        <v>20</v>
      </c>
      <c r="G16" s="61">
        <v>10</v>
      </c>
      <c r="H16" s="62">
        <v>6</v>
      </c>
      <c r="I16" s="59">
        <v>20</v>
      </c>
      <c r="J16" s="60">
        <v>16</v>
      </c>
      <c r="L16" s="61">
        <v>12</v>
      </c>
      <c r="M16" s="62">
        <v>4</v>
      </c>
      <c r="N16" s="59">
        <v>26</v>
      </c>
      <c r="O16" s="60">
        <v>10</v>
      </c>
      <c r="Q16" s="85"/>
      <c r="R16" s="86"/>
      <c r="S16" s="83"/>
      <c r="T16" s="84"/>
      <c r="V16" s="61">
        <v>3</v>
      </c>
      <c r="W16" s="62">
        <v>13</v>
      </c>
      <c r="X16" s="59">
        <v>13</v>
      </c>
      <c r="Y16" s="60">
        <v>28</v>
      </c>
      <c r="AA16" s="63">
        <v>4</v>
      </c>
      <c r="AB16" s="62">
        <v>12</v>
      </c>
      <c r="AC16" s="59">
        <v>12</v>
      </c>
      <c r="AD16" s="60">
        <v>26</v>
      </c>
      <c r="AF16" s="63">
        <v>4</v>
      </c>
      <c r="AG16" s="62">
        <v>12</v>
      </c>
      <c r="AH16" s="19">
        <v>10</v>
      </c>
      <c r="AI16" s="62">
        <v>26</v>
      </c>
      <c r="AJ16" s="21"/>
      <c r="AK16" s="63">
        <v>12</v>
      </c>
      <c r="AL16" s="62">
        <v>4</v>
      </c>
      <c r="AM16" s="19">
        <v>26</v>
      </c>
      <c r="AN16" s="62">
        <v>12</v>
      </c>
      <c r="AO16" s="21"/>
      <c r="AP16" s="63">
        <v>13</v>
      </c>
      <c r="AQ16" s="62">
        <v>3</v>
      </c>
      <c r="AR16" s="19">
        <v>28</v>
      </c>
      <c r="AS16" s="62">
        <v>13</v>
      </c>
      <c r="AT16" s="21"/>
      <c r="AU16" s="63"/>
      <c r="AV16" s="62"/>
      <c r="AW16" s="19"/>
      <c r="AX16" s="62"/>
    </row>
    <row r="17" spans="1:50" x14ac:dyDescent="0.25">
      <c r="A17" s="19">
        <v>16</v>
      </c>
      <c r="B17" s="59">
        <v>9</v>
      </c>
      <c r="C17" s="62">
        <v>7</v>
      </c>
      <c r="D17" s="59">
        <v>25</v>
      </c>
      <c r="E17" s="60">
        <v>14</v>
      </c>
      <c r="G17" s="61">
        <v>14</v>
      </c>
      <c r="H17" s="62">
        <v>2</v>
      </c>
      <c r="I17" s="59">
        <v>29</v>
      </c>
      <c r="J17" s="60">
        <v>7</v>
      </c>
      <c r="L17" s="61">
        <v>12</v>
      </c>
      <c r="M17" s="62">
        <v>4</v>
      </c>
      <c r="N17" s="59">
        <v>26</v>
      </c>
      <c r="O17" s="60">
        <v>15</v>
      </c>
      <c r="Q17" s="61">
        <v>11</v>
      </c>
      <c r="R17" s="62">
        <v>5</v>
      </c>
      <c r="S17" s="59">
        <v>27</v>
      </c>
      <c r="T17" s="60">
        <v>14</v>
      </c>
      <c r="V17" s="61">
        <v>2</v>
      </c>
      <c r="W17" s="62">
        <v>14</v>
      </c>
      <c r="X17" s="59">
        <v>7</v>
      </c>
      <c r="Y17" s="60">
        <v>29</v>
      </c>
      <c r="AA17" s="63">
        <v>5</v>
      </c>
      <c r="AB17" s="62">
        <v>11</v>
      </c>
      <c r="AC17" s="59">
        <v>14</v>
      </c>
      <c r="AD17" s="60">
        <v>27</v>
      </c>
      <c r="AF17" s="87"/>
      <c r="AG17" s="86"/>
      <c r="AH17" s="88"/>
      <c r="AI17" s="86"/>
      <c r="AJ17" s="21"/>
      <c r="AK17" s="63">
        <v>7</v>
      </c>
      <c r="AL17" s="62">
        <v>9</v>
      </c>
      <c r="AM17" s="19">
        <v>14</v>
      </c>
      <c r="AN17" s="62">
        <v>25</v>
      </c>
      <c r="AO17" s="21"/>
      <c r="AP17" s="63">
        <v>4</v>
      </c>
      <c r="AQ17" s="62">
        <v>12</v>
      </c>
      <c r="AR17" s="19">
        <v>15</v>
      </c>
      <c r="AS17" s="62">
        <v>26</v>
      </c>
      <c r="AT17" s="21"/>
      <c r="AU17" s="63"/>
      <c r="AV17" s="62"/>
      <c r="AW17" s="19"/>
      <c r="AX17" s="62"/>
    </row>
    <row r="18" spans="1:50" x14ac:dyDescent="0.25">
      <c r="A18" s="19">
        <v>17</v>
      </c>
      <c r="B18" s="59">
        <v>10</v>
      </c>
      <c r="C18" s="62">
        <v>6</v>
      </c>
      <c r="D18" s="59">
        <v>22</v>
      </c>
      <c r="E18" s="60">
        <v>15</v>
      </c>
      <c r="G18" s="61">
        <v>13</v>
      </c>
      <c r="H18" s="62">
        <v>3</v>
      </c>
      <c r="I18" s="59">
        <v>27</v>
      </c>
      <c r="J18" s="60">
        <v>12</v>
      </c>
      <c r="L18" s="61">
        <v>3</v>
      </c>
      <c r="M18" s="62">
        <v>13</v>
      </c>
      <c r="N18" s="59">
        <v>12</v>
      </c>
      <c r="O18" s="60">
        <v>27</v>
      </c>
      <c r="Q18" s="61">
        <v>6</v>
      </c>
      <c r="R18" s="62">
        <v>10</v>
      </c>
      <c r="S18" s="59">
        <v>15</v>
      </c>
      <c r="T18" s="60">
        <v>22</v>
      </c>
      <c r="V18" s="61">
        <v>2</v>
      </c>
      <c r="W18" s="62">
        <v>14</v>
      </c>
      <c r="X18" s="59">
        <v>9</v>
      </c>
      <c r="Y18" s="60">
        <v>28</v>
      </c>
      <c r="AA18" s="87"/>
      <c r="AB18" s="86"/>
      <c r="AC18" s="83"/>
      <c r="AD18" s="84"/>
      <c r="AF18" s="63">
        <v>5</v>
      </c>
      <c r="AG18" s="62">
        <v>11</v>
      </c>
      <c r="AH18" s="19">
        <v>13</v>
      </c>
      <c r="AI18" s="62">
        <v>24</v>
      </c>
      <c r="AJ18" s="21"/>
      <c r="AK18" s="63">
        <v>14</v>
      </c>
      <c r="AL18" s="62">
        <v>2</v>
      </c>
      <c r="AM18" s="19">
        <v>28</v>
      </c>
      <c r="AN18" s="62">
        <v>9</v>
      </c>
      <c r="AO18" s="21"/>
      <c r="AP18" s="63">
        <v>11</v>
      </c>
      <c r="AQ18" s="62">
        <v>5</v>
      </c>
      <c r="AR18" s="19">
        <v>24</v>
      </c>
      <c r="AS18" s="62">
        <v>13</v>
      </c>
      <c r="AT18" s="21"/>
      <c r="AU18" s="63"/>
      <c r="AV18" s="62"/>
      <c r="AW18" s="19"/>
      <c r="AX18" s="62"/>
    </row>
    <row r="19" spans="1:50" x14ac:dyDescent="0.25">
      <c r="A19" s="19">
        <v>18</v>
      </c>
      <c r="B19" s="59">
        <v>10</v>
      </c>
      <c r="C19" s="62">
        <v>6</v>
      </c>
      <c r="D19" s="59">
        <v>23</v>
      </c>
      <c r="E19" s="60">
        <v>14</v>
      </c>
      <c r="G19" s="61">
        <v>12</v>
      </c>
      <c r="H19" s="62">
        <v>4</v>
      </c>
      <c r="I19" s="59">
        <v>28</v>
      </c>
      <c r="J19" s="60">
        <v>11</v>
      </c>
      <c r="L19" s="61">
        <v>13</v>
      </c>
      <c r="M19" s="62">
        <v>3</v>
      </c>
      <c r="N19" s="59">
        <v>28</v>
      </c>
      <c r="O19" s="60">
        <v>8</v>
      </c>
      <c r="Q19" s="61">
        <v>14</v>
      </c>
      <c r="R19" s="62">
        <v>2</v>
      </c>
      <c r="S19" s="59">
        <v>30</v>
      </c>
      <c r="T19" s="60">
        <v>11</v>
      </c>
      <c r="V19" s="61">
        <v>2</v>
      </c>
      <c r="W19" s="62">
        <v>14</v>
      </c>
      <c r="X19" s="59">
        <v>11</v>
      </c>
      <c r="Y19" s="60">
        <v>30</v>
      </c>
      <c r="AA19" s="63">
        <v>6</v>
      </c>
      <c r="AB19" s="62">
        <v>10</v>
      </c>
      <c r="AC19" s="59">
        <v>14</v>
      </c>
      <c r="AD19" s="60">
        <v>23</v>
      </c>
      <c r="AF19" s="63">
        <v>4</v>
      </c>
      <c r="AG19" s="62">
        <v>12</v>
      </c>
      <c r="AH19" s="19">
        <v>11</v>
      </c>
      <c r="AI19" s="62">
        <v>28</v>
      </c>
      <c r="AJ19" s="21"/>
      <c r="AK19" s="63">
        <v>3</v>
      </c>
      <c r="AL19" s="62">
        <v>13</v>
      </c>
      <c r="AM19" s="19">
        <v>8</v>
      </c>
      <c r="AN19" s="62">
        <v>28</v>
      </c>
      <c r="AO19" s="21"/>
      <c r="AP19" s="87"/>
      <c r="AQ19" s="86"/>
      <c r="AR19" s="88"/>
      <c r="AS19" s="86"/>
      <c r="AT19" s="21"/>
      <c r="AU19" s="63"/>
      <c r="AV19" s="62"/>
      <c r="AW19" s="19"/>
      <c r="AX19" s="62"/>
    </row>
    <row r="20" spans="1:50" x14ac:dyDescent="0.25">
      <c r="A20" s="19">
        <v>19</v>
      </c>
      <c r="B20" s="41"/>
      <c r="C20" s="42"/>
      <c r="D20" s="41"/>
      <c r="E20" s="43"/>
      <c r="F20" s="44"/>
      <c r="G20" s="45"/>
      <c r="H20" s="42"/>
      <c r="I20" s="41"/>
      <c r="J20" s="43"/>
      <c r="K20" s="44"/>
      <c r="L20" s="45"/>
      <c r="M20" s="42"/>
      <c r="N20" s="41"/>
      <c r="O20" s="43"/>
      <c r="P20" s="44"/>
      <c r="Q20" s="45"/>
      <c r="R20" s="42"/>
      <c r="S20" s="41"/>
      <c r="T20" s="43"/>
      <c r="U20" s="44"/>
      <c r="V20" s="45"/>
      <c r="W20" s="42"/>
      <c r="X20" s="41"/>
      <c r="Y20" s="43"/>
      <c r="Z20" s="44"/>
      <c r="AA20" s="46"/>
      <c r="AB20" s="42"/>
      <c r="AC20" s="41"/>
      <c r="AD20" s="43"/>
      <c r="AE20" s="44"/>
      <c r="AF20" s="46"/>
      <c r="AG20" s="42"/>
      <c r="AH20" s="47"/>
      <c r="AI20" s="42"/>
      <c r="AJ20" s="44"/>
      <c r="AK20" s="46"/>
      <c r="AL20" s="42"/>
      <c r="AM20" s="47"/>
      <c r="AN20" s="42"/>
      <c r="AO20" s="44"/>
      <c r="AP20" s="46"/>
      <c r="AQ20" s="42"/>
      <c r="AR20" s="47"/>
      <c r="AS20" s="42"/>
      <c r="AT20" s="44"/>
      <c r="AU20" s="46"/>
      <c r="AV20" s="42"/>
      <c r="AW20" s="47"/>
      <c r="AX20" s="42"/>
    </row>
    <row r="21" spans="1:50" x14ac:dyDescent="0.25">
      <c r="A21" s="19">
        <v>20</v>
      </c>
      <c r="B21" s="41"/>
      <c r="C21" s="42"/>
      <c r="D21" s="41"/>
      <c r="E21" s="43"/>
      <c r="F21" s="44"/>
      <c r="G21" s="45"/>
      <c r="H21" s="42"/>
      <c r="I21" s="41"/>
      <c r="J21" s="43"/>
      <c r="K21" s="44"/>
      <c r="L21" s="45"/>
      <c r="M21" s="42"/>
      <c r="N21" s="41"/>
      <c r="O21" s="43"/>
      <c r="P21" s="44"/>
      <c r="Q21" s="45"/>
      <c r="R21" s="42"/>
      <c r="S21" s="41"/>
      <c r="T21" s="43"/>
      <c r="U21" s="44"/>
      <c r="V21" s="45"/>
      <c r="W21" s="42"/>
      <c r="X21" s="41"/>
      <c r="Y21" s="43"/>
      <c r="Z21" s="44"/>
      <c r="AA21" s="46"/>
      <c r="AB21" s="42"/>
      <c r="AC21" s="41"/>
      <c r="AD21" s="43"/>
      <c r="AE21" s="44"/>
      <c r="AF21" s="46"/>
      <c r="AG21" s="42"/>
      <c r="AH21" s="47"/>
      <c r="AI21" s="42"/>
      <c r="AJ21" s="44"/>
      <c r="AK21" s="46"/>
      <c r="AL21" s="42"/>
      <c r="AM21" s="47"/>
      <c r="AN21" s="42"/>
      <c r="AO21" s="44"/>
      <c r="AP21" s="46"/>
      <c r="AQ21" s="42"/>
      <c r="AR21" s="47"/>
      <c r="AS21" s="42"/>
      <c r="AT21" s="44"/>
      <c r="AU21" s="46"/>
      <c r="AV21" s="42"/>
      <c r="AW21" s="47"/>
      <c r="AX21" s="42"/>
    </row>
    <row r="22" spans="1:50" x14ac:dyDescent="0.25">
      <c r="A22" s="19">
        <v>21</v>
      </c>
      <c r="B22" s="41"/>
      <c r="C22" s="42"/>
      <c r="D22" s="41"/>
      <c r="E22" s="43"/>
      <c r="F22" s="44"/>
      <c r="G22" s="45"/>
      <c r="H22" s="42"/>
      <c r="I22" s="41"/>
      <c r="J22" s="43"/>
      <c r="K22" s="44"/>
      <c r="L22" s="45"/>
      <c r="M22" s="42"/>
      <c r="N22" s="41"/>
      <c r="O22" s="43"/>
      <c r="P22" s="44"/>
      <c r="Q22" s="45"/>
      <c r="R22" s="42"/>
      <c r="S22" s="41"/>
      <c r="T22" s="43"/>
      <c r="U22" s="44"/>
      <c r="V22" s="45"/>
      <c r="W22" s="42"/>
      <c r="X22" s="41"/>
      <c r="Y22" s="43"/>
      <c r="Z22" s="44"/>
      <c r="AA22" s="46"/>
      <c r="AB22" s="42"/>
      <c r="AC22" s="41"/>
      <c r="AD22" s="43"/>
      <c r="AE22" s="44"/>
      <c r="AF22" s="46"/>
      <c r="AG22" s="42"/>
      <c r="AH22" s="47"/>
      <c r="AI22" s="42"/>
      <c r="AJ22" s="44"/>
      <c r="AK22" s="46"/>
      <c r="AL22" s="42"/>
      <c r="AM22" s="47"/>
      <c r="AN22" s="42"/>
      <c r="AO22" s="44"/>
      <c r="AP22" s="46"/>
      <c r="AQ22" s="42"/>
      <c r="AR22" s="47"/>
      <c r="AS22" s="42"/>
      <c r="AT22" s="44"/>
      <c r="AU22" s="46"/>
      <c r="AV22" s="42"/>
      <c r="AW22" s="47"/>
      <c r="AX22" s="42"/>
    </row>
    <row r="23" spans="1:50" ht="15.75" thickBot="1" x14ac:dyDescent="0.3">
      <c r="A23" s="19">
        <v>22</v>
      </c>
      <c r="B23" s="48"/>
      <c r="C23" s="49"/>
      <c r="D23" s="48"/>
      <c r="E23" s="50"/>
      <c r="F23" s="44"/>
      <c r="G23" s="51"/>
      <c r="H23" s="49"/>
      <c r="I23" s="48"/>
      <c r="J23" s="50"/>
      <c r="K23" s="44"/>
      <c r="L23" s="51"/>
      <c r="M23" s="49"/>
      <c r="N23" s="48"/>
      <c r="O23" s="50"/>
      <c r="P23" s="44"/>
      <c r="Q23" s="51"/>
      <c r="R23" s="49"/>
      <c r="S23" s="48"/>
      <c r="T23" s="50"/>
      <c r="U23" s="44"/>
      <c r="V23" s="51"/>
      <c r="W23" s="49"/>
      <c r="X23" s="48"/>
      <c r="Y23" s="50"/>
      <c r="Z23" s="44"/>
      <c r="AA23" s="52"/>
      <c r="AB23" s="49"/>
      <c r="AC23" s="48"/>
      <c r="AD23" s="50"/>
      <c r="AE23" s="44"/>
      <c r="AF23" s="52"/>
      <c r="AG23" s="49"/>
      <c r="AH23" s="53"/>
      <c r="AI23" s="49"/>
      <c r="AJ23" s="44"/>
      <c r="AK23" s="52"/>
      <c r="AL23" s="49"/>
      <c r="AM23" s="53"/>
      <c r="AN23" s="49"/>
      <c r="AO23" s="44"/>
      <c r="AP23" s="52"/>
      <c r="AQ23" s="49"/>
      <c r="AR23" s="53"/>
      <c r="AS23" s="49"/>
      <c r="AT23" s="44"/>
      <c r="AU23" s="52"/>
      <c r="AV23" s="49"/>
      <c r="AW23" s="53"/>
      <c r="AX23" s="49"/>
    </row>
    <row r="24" spans="1:50" x14ac:dyDescent="0.25">
      <c r="B24" s="33">
        <f>B2+B3+B4+B5+B6+B7+B8+B9+B10+B11+B12+B13+B14+B15+B16+B17+B18+B19+B20+B21+B22+B23</f>
        <v>148</v>
      </c>
      <c r="C24" s="34">
        <f t="shared" ref="C24:Y24" si="0">C2+C3+C4+C5+C6+C7+C8+C9+C10+C11+C12+C13+C14+C15+C16+C17+C18+C19+C20+C21+C22+C23</f>
        <v>109</v>
      </c>
      <c r="D24" s="33">
        <f t="shared" si="0"/>
        <v>346</v>
      </c>
      <c r="E24" s="34">
        <f t="shared" si="0"/>
        <v>267</v>
      </c>
      <c r="F24" s="35"/>
      <c r="G24" s="33">
        <f t="shared" si="0"/>
        <v>173</v>
      </c>
      <c r="H24" s="34">
        <f t="shared" si="0"/>
        <v>85</v>
      </c>
      <c r="I24" s="33">
        <f t="shared" si="0"/>
        <v>389</v>
      </c>
      <c r="J24" s="34">
        <f t="shared" si="0"/>
        <v>228</v>
      </c>
      <c r="K24" s="35"/>
      <c r="L24" s="33">
        <f t="shared" si="0"/>
        <v>149</v>
      </c>
      <c r="M24" s="34">
        <f t="shared" si="0"/>
        <v>109</v>
      </c>
      <c r="N24" s="33">
        <f t="shared" si="0"/>
        <v>344</v>
      </c>
      <c r="O24" s="34">
        <f t="shared" si="0"/>
        <v>268</v>
      </c>
      <c r="P24" s="35"/>
      <c r="Q24" s="33">
        <f t="shared" si="0"/>
        <v>143</v>
      </c>
      <c r="R24" s="34">
        <f t="shared" si="0"/>
        <v>115</v>
      </c>
      <c r="S24" s="33">
        <f t="shared" si="0"/>
        <v>334</v>
      </c>
      <c r="T24" s="34">
        <f t="shared" si="0"/>
        <v>281</v>
      </c>
      <c r="U24" s="35"/>
      <c r="V24" s="33">
        <f t="shared" si="0"/>
        <v>66</v>
      </c>
      <c r="W24" s="34">
        <f t="shared" si="0"/>
        <v>191</v>
      </c>
      <c r="X24" s="33">
        <f t="shared" si="0"/>
        <v>198</v>
      </c>
      <c r="Y24" s="34">
        <f t="shared" si="0"/>
        <v>407</v>
      </c>
      <c r="Z24" s="36"/>
      <c r="AA24" s="37">
        <f t="shared" ref="AA24" si="1">AA2+AA3+AA4+AA5+AA6+AA7+AA8+AA9+AA10+AA11+AA12+AA13+AA14+AA15+AA16+AA17+AA18+AA19+AA20+AA21+AA22+AA23</f>
        <v>98</v>
      </c>
      <c r="AB24" s="34">
        <f t="shared" ref="AB24" si="2">AB2+AB3+AB4+AB5+AB6+AB7+AB8+AB9+AB10+AB11+AB12+AB13+AB14+AB15+AB16+AB17+AB18+AB19+AB20+AB21+AB22+AB23</f>
        <v>159</v>
      </c>
      <c r="AC24" s="33">
        <f t="shared" ref="AC24" si="3">AC2+AC3+AC4+AC5+AC6+AC7+AC8+AC9+AC10+AC11+AC12+AC13+AC14+AC15+AC16+AC17+AC18+AC19+AC20+AC21+AC22+AC23</f>
        <v>247</v>
      </c>
      <c r="AD24" s="34">
        <f t="shared" ref="AD24" si="4">AD2+AD3+AD4+AD5+AD6+AD7+AD8+AD9+AD10+AD11+AD12+AD13+AD14+AD15+AD16+AD17+AD18+AD19+AD20+AD21+AD22+AD23</f>
        <v>366</v>
      </c>
      <c r="AE24" s="36"/>
      <c r="AF24" s="37">
        <f t="shared" ref="AF24" si="5">AF2+AF3+AF4+AF5+AF6+AF7+AF8+AF9+AF10+AF11+AF12+AF13+AF14+AF15+AF16+AF17+AF18+AF19+AF20+AF21+AF22+AF23</f>
        <v>85</v>
      </c>
      <c r="AG24" s="34">
        <f t="shared" ref="AG24" si="6">AG2+AG3+AG4+AG5+AG6+AG7+AG8+AG9+AG10+AG11+AG12+AG13+AG14+AG15+AG16+AG17+AG18+AG19+AG20+AG21+AG22+AG23</f>
        <v>173</v>
      </c>
      <c r="AH24" s="37">
        <f t="shared" ref="AH24" si="7">AH2+AH3+AH4+AH5+AH6+AH7+AH8+AH9+AH10+AH11+AH12+AH13+AH14+AH15+AH16+AH17+AH18+AH19+AH20+AH21+AH22+AH23</f>
        <v>221</v>
      </c>
      <c r="AI24" s="34">
        <f t="shared" ref="AI24" si="8">AI2+AI3+AI4+AI5+AI6+AI7+AI8+AI9+AI10+AI11+AI12+AI13+AI14+AI15+AI16+AI17+AI18+AI19+AI20+AI21+AI22+AI23</f>
        <v>383</v>
      </c>
      <c r="AJ24" s="36"/>
      <c r="AK24" s="37">
        <f t="shared" ref="AK24:AN24" si="9">AK2+AK3+AK4+AK5+AK6+AK7+AK8+AK9+AK10+AK11+AK12+AK13+AK14+AK15+AK16+AK17+AK18+AK19+AK20+AK21+AK22+AK23</f>
        <v>164</v>
      </c>
      <c r="AL24" s="34">
        <f t="shared" si="9"/>
        <v>93</v>
      </c>
      <c r="AM24" s="37">
        <f t="shared" si="9"/>
        <v>362</v>
      </c>
      <c r="AN24" s="34">
        <f t="shared" si="9"/>
        <v>253</v>
      </c>
      <c r="AO24" s="36"/>
      <c r="AP24" s="37">
        <f t="shared" ref="AP24:AS24" si="10">AP2+AP3+AP4+AP5+AP6+AP7+AP8+AP9+AP10+AP11+AP12+AP13+AP14+AP15+AP16+AP17+AP18+AP19+AP20+AP21+AP22+AP23</f>
        <v>133</v>
      </c>
      <c r="AQ24" s="34">
        <f t="shared" si="10"/>
        <v>125</v>
      </c>
      <c r="AR24" s="37">
        <f t="shared" si="10"/>
        <v>323</v>
      </c>
      <c r="AS24" s="34">
        <f t="shared" si="10"/>
        <v>308</v>
      </c>
      <c r="AT24" s="36"/>
      <c r="AU24" s="37">
        <f t="shared" ref="AU24:AX24" si="11">AU2+AU3+AU4+AU5+AU6+AU7+AU8+AU9+AU10+AU11+AU12+AU13+AU14+AU15+AU16+AU17+AU18+AU19+AU20+AU21+AU22+AU23</f>
        <v>0</v>
      </c>
      <c r="AV24" s="34">
        <f t="shared" si="11"/>
        <v>0</v>
      </c>
      <c r="AW24" s="37">
        <f t="shared" si="11"/>
        <v>0</v>
      </c>
      <c r="AX24" s="34">
        <f t="shared" si="11"/>
        <v>0</v>
      </c>
    </row>
    <row r="25" spans="1:50" x14ac:dyDescent="0.25">
      <c r="B25" s="27" t="s">
        <v>42</v>
      </c>
      <c r="C25" s="27" t="s">
        <v>43</v>
      </c>
      <c r="D25" s="27" t="s">
        <v>44</v>
      </c>
      <c r="E25" s="27" t="s">
        <v>45</v>
      </c>
      <c r="F25" s="39"/>
      <c r="G25" s="27" t="s">
        <v>42</v>
      </c>
      <c r="H25" s="27" t="s">
        <v>43</v>
      </c>
      <c r="I25" s="27" t="s">
        <v>44</v>
      </c>
      <c r="J25" s="27" t="s">
        <v>45</v>
      </c>
      <c r="K25" s="39"/>
      <c r="L25" s="27" t="s">
        <v>42</v>
      </c>
      <c r="M25" s="27" t="s">
        <v>43</v>
      </c>
      <c r="N25" s="27" t="s">
        <v>44</v>
      </c>
      <c r="O25" s="27" t="s">
        <v>45</v>
      </c>
      <c r="P25" s="39"/>
      <c r="Q25" s="27" t="s">
        <v>42</v>
      </c>
      <c r="R25" s="27" t="s">
        <v>43</v>
      </c>
      <c r="S25" s="27" t="s">
        <v>44</v>
      </c>
      <c r="T25" s="27" t="s">
        <v>45</v>
      </c>
      <c r="U25" s="39"/>
      <c r="V25" s="27" t="s">
        <v>42</v>
      </c>
      <c r="W25" s="27" t="s">
        <v>43</v>
      </c>
      <c r="X25" s="27" t="s">
        <v>44</v>
      </c>
      <c r="Y25" s="27" t="s">
        <v>45</v>
      </c>
      <c r="Z25" s="39"/>
      <c r="AA25" s="27" t="s">
        <v>42</v>
      </c>
      <c r="AB25" s="27" t="s">
        <v>43</v>
      </c>
      <c r="AC25" s="27" t="s">
        <v>44</v>
      </c>
      <c r="AD25" s="27" t="s">
        <v>45</v>
      </c>
      <c r="AE25" s="39"/>
      <c r="AF25" s="27" t="s">
        <v>42</v>
      </c>
      <c r="AG25" s="27" t="s">
        <v>43</v>
      </c>
      <c r="AH25" s="27" t="s">
        <v>44</v>
      </c>
      <c r="AI25" s="27" t="s">
        <v>45</v>
      </c>
      <c r="AJ25" s="39"/>
      <c r="AK25" s="27" t="s">
        <v>42</v>
      </c>
      <c r="AL25" s="27" t="s">
        <v>43</v>
      </c>
      <c r="AM25" s="27" t="s">
        <v>44</v>
      </c>
      <c r="AN25" s="27" t="s">
        <v>45</v>
      </c>
      <c r="AO25" s="39"/>
      <c r="AP25" s="27" t="s">
        <v>42</v>
      </c>
      <c r="AQ25" s="27" t="s">
        <v>43</v>
      </c>
      <c r="AR25" s="27" t="s">
        <v>44</v>
      </c>
      <c r="AS25" s="27" t="s">
        <v>45</v>
      </c>
      <c r="AT25" s="39"/>
      <c r="AU25" s="27" t="s">
        <v>42</v>
      </c>
      <c r="AV25" s="27" t="s">
        <v>43</v>
      </c>
      <c r="AW25" s="27" t="s">
        <v>44</v>
      </c>
      <c r="AX25" s="27" t="s">
        <v>45</v>
      </c>
    </row>
    <row r="26" spans="1:50" x14ac:dyDescent="0.25">
      <c r="B26" s="27">
        <v>11</v>
      </c>
      <c r="C26" s="27"/>
      <c r="D26" s="27">
        <v>4</v>
      </c>
      <c r="E26" s="27">
        <v>1</v>
      </c>
      <c r="F26" s="39"/>
      <c r="G26" s="27">
        <v>11</v>
      </c>
      <c r="H26" s="27">
        <v>2</v>
      </c>
      <c r="I26" s="27">
        <v>3</v>
      </c>
      <c r="J26" s="27"/>
      <c r="K26" s="39"/>
      <c r="L26" s="27">
        <v>9</v>
      </c>
      <c r="M26" s="27">
        <v>2</v>
      </c>
      <c r="N26" s="27">
        <v>5</v>
      </c>
      <c r="O26" s="27"/>
      <c r="P26" s="39"/>
      <c r="Q26" s="27">
        <v>9</v>
      </c>
      <c r="R26" s="27"/>
      <c r="S26" s="27">
        <v>5</v>
      </c>
      <c r="T26" s="27">
        <v>2</v>
      </c>
      <c r="U26" s="39"/>
      <c r="V26" s="27"/>
      <c r="W26" s="27">
        <v>1</v>
      </c>
      <c r="X26" s="27">
        <v>15</v>
      </c>
      <c r="Y26" s="27"/>
      <c r="Z26" s="39"/>
      <c r="AA26" s="27">
        <v>4</v>
      </c>
      <c r="AB26" s="27"/>
      <c r="AC26" s="27">
        <v>11</v>
      </c>
      <c r="AD26" s="27">
        <v>1</v>
      </c>
      <c r="AE26" s="39"/>
      <c r="AF26" s="27">
        <v>3</v>
      </c>
      <c r="AG26" s="27"/>
      <c r="AH26" s="27">
        <v>11</v>
      </c>
      <c r="AI26" s="27">
        <v>2</v>
      </c>
      <c r="AJ26" s="39"/>
      <c r="AK26" s="27">
        <v>11</v>
      </c>
      <c r="AL26" s="27">
        <v>1</v>
      </c>
      <c r="AM26" s="27">
        <v>4</v>
      </c>
      <c r="AN26" s="27"/>
      <c r="AO26" s="39"/>
      <c r="AP26" s="27">
        <v>7</v>
      </c>
      <c r="AQ26" s="27">
        <v>1</v>
      </c>
      <c r="AR26" s="27">
        <v>7</v>
      </c>
      <c r="AS26" s="27">
        <v>1</v>
      </c>
      <c r="AT26" s="39"/>
      <c r="AU26" s="27"/>
      <c r="AV26" s="27"/>
      <c r="AW26" s="27"/>
      <c r="AX26" s="27"/>
    </row>
    <row r="27" spans="1:50" x14ac:dyDescent="0.25">
      <c r="F27" s="38"/>
      <c r="K27" s="38"/>
      <c r="P27" s="38"/>
      <c r="U27" s="38"/>
      <c r="Z27" s="38"/>
      <c r="AE27" s="38"/>
      <c r="AJ27" s="38"/>
      <c r="AL27" s="23"/>
      <c r="AN27" s="23"/>
      <c r="AO27" s="38"/>
      <c r="AQ27" s="23"/>
      <c r="AS27" s="23"/>
      <c r="AT27" s="38"/>
      <c r="AV27" s="23"/>
      <c r="AX27" s="23"/>
    </row>
    <row r="28" spans="1:50" x14ac:dyDescent="0.25">
      <c r="F28" s="22"/>
      <c r="K28" s="22"/>
      <c r="P28" s="22"/>
      <c r="U28" s="22"/>
      <c r="Z28" s="22"/>
      <c r="AE28" s="22"/>
    </row>
    <row r="29" spans="1:50" x14ac:dyDescent="0.25">
      <c r="B29" s="26" t="s">
        <v>12</v>
      </c>
      <c r="C29" s="110" t="s">
        <v>13</v>
      </c>
      <c r="D29" s="110"/>
      <c r="E29" s="110"/>
      <c r="F29" s="110"/>
      <c r="G29" s="110"/>
      <c r="H29" s="110"/>
      <c r="I29" s="26" t="s">
        <v>14</v>
      </c>
      <c r="J29" s="110" t="s">
        <v>49</v>
      </c>
      <c r="K29" s="110"/>
      <c r="L29" s="26" t="s">
        <v>48</v>
      </c>
      <c r="M29" s="40" t="s">
        <v>50</v>
      </c>
      <c r="N29" s="40" t="s">
        <v>51</v>
      </c>
      <c r="O29" s="110" t="s">
        <v>53</v>
      </c>
      <c r="P29" s="110"/>
      <c r="Q29" s="110"/>
      <c r="R29" s="110" t="s">
        <v>17</v>
      </c>
      <c r="S29" s="110"/>
      <c r="T29" s="119" t="s">
        <v>52</v>
      </c>
      <c r="U29" s="119"/>
      <c r="Z29" s="22"/>
      <c r="AE29" s="22"/>
    </row>
    <row r="30" spans="1:50" x14ac:dyDescent="0.25">
      <c r="B30" s="56">
        <v>1</v>
      </c>
      <c r="C30" s="111" t="str">
        <f>B1</f>
        <v>Š VEPŘI K</v>
      </c>
      <c r="D30" s="112"/>
      <c r="E30" s="112"/>
      <c r="F30" s="112"/>
      <c r="G30" s="112"/>
      <c r="H30" s="113"/>
      <c r="I30" s="26">
        <f>B26+C26+D26+E26+2</f>
        <v>18</v>
      </c>
      <c r="J30" s="111">
        <f>B26</f>
        <v>11</v>
      </c>
      <c r="K30" s="113"/>
      <c r="L30" s="26">
        <f>C26</f>
        <v>0</v>
      </c>
      <c r="M30" s="26">
        <f>D26</f>
        <v>4</v>
      </c>
      <c r="N30" s="26">
        <f>E26</f>
        <v>1</v>
      </c>
      <c r="O30" s="114">
        <f>B24</f>
        <v>148</v>
      </c>
      <c r="P30" s="114"/>
      <c r="Q30" s="58">
        <f>C24</f>
        <v>109</v>
      </c>
      <c r="R30" s="57">
        <f>D24</f>
        <v>346</v>
      </c>
      <c r="S30" s="58">
        <f>E24</f>
        <v>267</v>
      </c>
      <c r="T30" s="110">
        <f>J30*3+L30*2+N30*1</f>
        <v>34</v>
      </c>
      <c r="U30" s="110"/>
      <c r="Z30" s="22"/>
      <c r="AE30" s="22"/>
    </row>
    <row r="31" spans="1:50" x14ac:dyDescent="0.25">
      <c r="B31" s="56">
        <v>2</v>
      </c>
      <c r="C31" s="111" t="str">
        <f>G1</f>
        <v>Moštárna Kojetín</v>
      </c>
      <c r="D31" s="112"/>
      <c r="E31" s="112"/>
      <c r="F31" s="112"/>
      <c r="G31" s="112"/>
      <c r="H31" s="113"/>
      <c r="I31" s="26">
        <f>G26+H26+I26+J26+2</f>
        <v>18</v>
      </c>
      <c r="J31" s="111">
        <f>G26</f>
        <v>11</v>
      </c>
      <c r="K31" s="113"/>
      <c r="L31" s="26">
        <f>H26</f>
        <v>2</v>
      </c>
      <c r="M31" s="26">
        <f>I26</f>
        <v>3</v>
      </c>
      <c r="N31" s="26">
        <f>J26</f>
        <v>0</v>
      </c>
      <c r="O31" s="114">
        <f>G24</f>
        <v>173</v>
      </c>
      <c r="P31" s="114"/>
      <c r="Q31" s="58">
        <f>H24</f>
        <v>85</v>
      </c>
      <c r="R31" s="57">
        <f>I24</f>
        <v>389</v>
      </c>
      <c r="S31" s="58">
        <f>J24</f>
        <v>228</v>
      </c>
      <c r="T31" s="110">
        <f t="shared" ref="T31:T38" si="12">J31*3+L31*2+N31*1</f>
        <v>37</v>
      </c>
      <c r="U31" s="110"/>
      <c r="Z31" s="22"/>
      <c r="AE31" s="22"/>
    </row>
    <row r="32" spans="1:50" x14ac:dyDescent="0.25">
      <c r="B32" s="56">
        <v>3</v>
      </c>
      <c r="C32" s="111" t="str">
        <f>L1</f>
        <v>Sportbar Baďa A</v>
      </c>
      <c r="D32" s="112"/>
      <c r="E32" s="112"/>
      <c r="F32" s="112"/>
      <c r="G32" s="112"/>
      <c r="H32" s="113"/>
      <c r="I32" s="26">
        <f>L26+M26+N26+O26+2</f>
        <v>18</v>
      </c>
      <c r="J32" s="111">
        <f>L26</f>
        <v>9</v>
      </c>
      <c r="K32" s="113"/>
      <c r="L32" s="26">
        <f>M26</f>
        <v>2</v>
      </c>
      <c r="M32" s="26">
        <f>N26</f>
        <v>5</v>
      </c>
      <c r="N32" s="26">
        <f>O26</f>
        <v>0</v>
      </c>
      <c r="O32" s="114">
        <f>L24</f>
        <v>149</v>
      </c>
      <c r="P32" s="114"/>
      <c r="Q32" s="58">
        <f>M24</f>
        <v>109</v>
      </c>
      <c r="R32" s="57">
        <f>N24</f>
        <v>344</v>
      </c>
      <c r="S32" s="58">
        <f>O24</f>
        <v>268</v>
      </c>
      <c r="T32" s="110">
        <f t="shared" si="12"/>
        <v>31</v>
      </c>
      <c r="U32" s="110"/>
      <c r="Z32" s="22"/>
      <c r="AE32" s="22"/>
    </row>
    <row r="33" spans="2:35" x14ac:dyDescent="0.25">
      <c r="B33" s="56">
        <v>4</v>
      </c>
      <c r="C33" s="111" t="str">
        <f>Q1</f>
        <v>Sportbar Baďa B</v>
      </c>
      <c r="D33" s="112"/>
      <c r="E33" s="112"/>
      <c r="F33" s="112"/>
      <c r="G33" s="112"/>
      <c r="H33" s="113"/>
      <c r="I33" s="26">
        <f>Q26+R26+S26+T26+2</f>
        <v>18</v>
      </c>
      <c r="J33" s="111">
        <f>Q26</f>
        <v>9</v>
      </c>
      <c r="K33" s="113"/>
      <c r="L33" s="26">
        <f>R26</f>
        <v>0</v>
      </c>
      <c r="M33" s="26">
        <f>S26</f>
        <v>5</v>
      </c>
      <c r="N33" s="26">
        <f>T26</f>
        <v>2</v>
      </c>
      <c r="O33" s="114">
        <f>Q24</f>
        <v>143</v>
      </c>
      <c r="P33" s="114"/>
      <c r="Q33" s="58">
        <f>R24</f>
        <v>115</v>
      </c>
      <c r="R33" s="57">
        <f>S24</f>
        <v>334</v>
      </c>
      <c r="S33" s="58">
        <f>T24</f>
        <v>281</v>
      </c>
      <c r="T33" s="110">
        <f t="shared" si="12"/>
        <v>29</v>
      </c>
      <c r="U33" s="110"/>
      <c r="Z33" s="22"/>
      <c r="AE33" s="22"/>
    </row>
    <row r="34" spans="2:35" x14ac:dyDescent="0.25">
      <c r="B34" s="56">
        <v>5</v>
      </c>
      <c r="C34" s="111" t="str">
        <f>V1</f>
        <v>Draci "A"</v>
      </c>
      <c r="D34" s="112"/>
      <c r="E34" s="112"/>
      <c r="F34" s="112"/>
      <c r="G34" s="112"/>
      <c r="H34" s="113"/>
      <c r="I34" s="26">
        <f>V26+W26+X26+Y26+2</f>
        <v>18</v>
      </c>
      <c r="J34" s="111">
        <f>V26</f>
        <v>0</v>
      </c>
      <c r="K34" s="113"/>
      <c r="L34" s="26">
        <f>W26</f>
        <v>1</v>
      </c>
      <c r="M34" s="26">
        <f>X26</f>
        <v>15</v>
      </c>
      <c r="N34" s="26">
        <f>Y26</f>
        <v>0</v>
      </c>
      <c r="O34" s="114">
        <f>V24</f>
        <v>66</v>
      </c>
      <c r="P34" s="114"/>
      <c r="Q34" s="58">
        <f>W24</f>
        <v>191</v>
      </c>
      <c r="R34" s="57">
        <f>X24</f>
        <v>198</v>
      </c>
      <c r="S34" s="58">
        <f>Y24</f>
        <v>407</v>
      </c>
      <c r="T34" s="110">
        <f t="shared" si="12"/>
        <v>2</v>
      </c>
      <c r="U34" s="110"/>
      <c r="Z34" s="22"/>
      <c r="AE34" s="22"/>
    </row>
    <row r="35" spans="2:35" ht="15.75" x14ac:dyDescent="0.25">
      <c r="B35" s="56">
        <v>6</v>
      </c>
      <c r="C35" s="115" t="str">
        <f>AA1</f>
        <v>Draci "B"</v>
      </c>
      <c r="D35" s="116"/>
      <c r="E35" s="116"/>
      <c r="F35" s="116"/>
      <c r="G35" s="116"/>
      <c r="H35" s="117"/>
      <c r="I35" s="26">
        <f>AA26+AB26+AC26+AD26+2</f>
        <v>18</v>
      </c>
      <c r="J35" s="115">
        <f>AA26</f>
        <v>4</v>
      </c>
      <c r="K35" s="117"/>
      <c r="L35" s="80">
        <f>AB26</f>
        <v>0</v>
      </c>
      <c r="M35" s="80">
        <f>AC26</f>
        <v>11</v>
      </c>
      <c r="N35" s="26">
        <f>AD26</f>
        <v>1</v>
      </c>
      <c r="O35" s="118">
        <f>AA24</f>
        <v>98</v>
      </c>
      <c r="P35" s="118"/>
      <c r="Q35" s="65">
        <f>AB24</f>
        <v>159</v>
      </c>
      <c r="R35" s="57">
        <f>AC24</f>
        <v>247</v>
      </c>
      <c r="S35" s="58">
        <f>AD24</f>
        <v>366</v>
      </c>
      <c r="T35" s="110">
        <f t="shared" si="12"/>
        <v>13</v>
      </c>
      <c r="U35" s="110"/>
      <c r="Z35" s="22"/>
      <c r="AE35" s="22"/>
    </row>
    <row r="36" spans="2:35" x14ac:dyDescent="0.25">
      <c r="B36" s="56">
        <v>7</v>
      </c>
      <c r="C36" s="111" t="str">
        <f>AF1</f>
        <v>DC Kraken Dřínov A</v>
      </c>
      <c r="D36" s="112"/>
      <c r="E36" s="112"/>
      <c r="F36" s="112"/>
      <c r="G36" s="112"/>
      <c r="H36" s="113"/>
      <c r="I36" s="26">
        <f>AF26+AG26+AH26+AI26+2</f>
        <v>18</v>
      </c>
      <c r="J36" s="111">
        <f>AF26</f>
        <v>3</v>
      </c>
      <c r="K36" s="113"/>
      <c r="L36" s="26">
        <f>AG26</f>
        <v>0</v>
      </c>
      <c r="M36" s="26">
        <f>AH26</f>
        <v>11</v>
      </c>
      <c r="N36" s="26">
        <f>AI26</f>
        <v>2</v>
      </c>
      <c r="O36" s="114">
        <f>AF24</f>
        <v>85</v>
      </c>
      <c r="P36" s="114"/>
      <c r="Q36" s="58">
        <f>AG24</f>
        <v>173</v>
      </c>
      <c r="R36" s="57">
        <f>AH24</f>
        <v>221</v>
      </c>
      <c r="S36" s="58">
        <f>AI24</f>
        <v>383</v>
      </c>
      <c r="T36" s="110">
        <f t="shared" si="12"/>
        <v>11</v>
      </c>
      <c r="U36" s="110"/>
      <c r="Z36" s="22"/>
      <c r="AE36" s="22"/>
    </row>
    <row r="37" spans="2:35" x14ac:dyDescent="0.25">
      <c r="B37" s="56">
        <v>8</v>
      </c>
      <c r="C37" s="111" t="str">
        <f>AK1</f>
        <v>DC Kraken Dřínov B</v>
      </c>
      <c r="D37" s="112"/>
      <c r="E37" s="112"/>
      <c r="F37" s="112"/>
      <c r="G37" s="112"/>
      <c r="H37" s="113"/>
      <c r="I37" s="26">
        <f>AK26+AL26+AM26+AN26+2</f>
        <v>18</v>
      </c>
      <c r="J37" s="111">
        <f>AK26</f>
        <v>11</v>
      </c>
      <c r="K37" s="113"/>
      <c r="L37" s="26">
        <f>AL26</f>
        <v>1</v>
      </c>
      <c r="M37" s="26">
        <f>AM26</f>
        <v>4</v>
      </c>
      <c r="N37" s="26">
        <f>AN26</f>
        <v>0</v>
      </c>
      <c r="O37" s="114">
        <f>AK24</f>
        <v>164</v>
      </c>
      <c r="P37" s="114"/>
      <c r="Q37" s="58">
        <f>AL24</f>
        <v>93</v>
      </c>
      <c r="R37" s="57">
        <f>AM24</f>
        <v>362</v>
      </c>
      <c r="S37" s="58">
        <f>AN24</f>
        <v>253</v>
      </c>
      <c r="T37" s="110">
        <f t="shared" si="12"/>
        <v>35</v>
      </c>
      <c r="U37" s="110"/>
      <c r="Z37" s="22"/>
      <c r="AE37" s="22"/>
    </row>
    <row r="38" spans="2:35" x14ac:dyDescent="0.25">
      <c r="B38" s="56">
        <v>9</v>
      </c>
      <c r="C38" s="111" t="str">
        <f>AP1</f>
        <v>Bochořský koblihy</v>
      </c>
      <c r="D38" s="112"/>
      <c r="E38" s="112"/>
      <c r="F38" s="112"/>
      <c r="G38" s="112"/>
      <c r="H38" s="113"/>
      <c r="I38" s="26">
        <f>AP26+AQ26+AR26+AS26+2</f>
        <v>18</v>
      </c>
      <c r="J38" s="111">
        <f>AP26</f>
        <v>7</v>
      </c>
      <c r="K38" s="113"/>
      <c r="L38" s="26">
        <f>AQ26</f>
        <v>1</v>
      </c>
      <c r="M38" s="26">
        <f>AR26</f>
        <v>7</v>
      </c>
      <c r="N38" s="26">
        <f>AS26</f>
        <v>1</v>
      </c>
      <c r="O38" s="114">
        <f>AP24</f>
        <v>133</v>
      </c>
      <c r="P38" s="114"/>
      <c r="Q38" s="58">
        <f>AQ24</f>
        <v>125</v>
      </c>
      <c r="R38" s="57">
        <f>AR24</f>
        <v>323</v>
      </c>
      <c r="S38" s="58">
        <f>AS24</f>
        <v>308</v>
      </c>
      <c r="T38" s="110">
        <f t="shared" si="12"/>
        <v>24</v>
      </c>
      <c r="U38" s="110"/>
      <c r="Z38" s="22"/>
      <c r="AE38" s="22"/>
    </row>
    <row r="39" spans="2:35" x14ac:dyDescent="0.25">
      <c r="B39" s="56">
        <v>10</v>
      </c>
      <c r="C39" s="111">
        <f>AU1</f>
        <v>0</v>
      </c>
      <c r="D39" s="112"/>
      <c r="E39" s="112"/>
      <c r="F39" s="112"/>
      <c r="G39" s="112"/>
      <c r="H39" s="113"/>
      <c r="I39" s="26">
        <f>AU26+AV26+AW26+AX26</f>
        <v>0</v>
      </c>
      <c r="J39" s="111">
        <f>AU26</f>
        <v>0</v>
      </c>
      <c r="K39" s="113"/>
      <c r="L39" s="26">
        <f>AV26</f>
        <v>0</v>
      </c>
      <c r="M39" s="26">
        <f>AW26</f>
        <v>0</v>
      </c>
      <c r="N39" s="26">
        <f>AX26</f>
        <v>0</v>
      </c>
      <c r="O39" s="114">
        <f>AU24</f>
        <v>0</v>
      </c>
      <c r="P39" s="114"/>
      <c r="Q39" s="58">
        <f>AV24</f>
        <v>0</v>
      </c>
      <c r="R39" s="57">
        <f>AW24</f>
        <v>0</v>
      </c>
      <c r="S39" s="58">
        <f>AX24</f>
        <v>0</v>
      </c>
      <c r="T39" s="110">
        <f>J39*3+L39*2+N39*1</f>
        <v>0</v>
      </c>
      <c r="U39" s="110"/>
      <c r="Z39" s="22"/>
      <c r="AE39" s="22"/>
    </row>
    <row r="40" spans="2:35" x14ac:dyDescent="0.25">
      <c r="F40" s="22"/>
      <c r="K40" s="22"/>
      <c r="P40" s="22"/>
      <c r="U40" s="22"/>
      <c r="Z40" s="22"/>
      <c r="AE40" s="22"/>
    </row>
    <row r="41" spans="2:35" x14ac:dyDescent="0.25">
      <c r="F41" s="22"/>
      <c r="K41" s="22"/>
      <c r="P41" s="22"/>
      <c r="U41" s="22"/>
      <c r="Z41" s="22"/>
      <c r="AE41" s="22"/>
    </row>
    <row r="42" spans="2:35" x14ac:dyDescent="0.25">
      <c r="F42" s="22"/>
      <c r="K42" s="22"/>
      <c r="P42" s="22"/>
      <c r="U42" s="22"/>
      <c r="Z42" s="22"/>
      <c r="AE42" s="22"/>
    </row>
    <row r="43" spans="2:35" x14ac:dyDescent="0.25">
      <c r="F43" s="22"/>
      <c r="K43" s="22"/>
      <c r="P43" s="22"/>
      <c r="U43" s="22"/>
      <c r="Z43" s="22"/>
      <c r="AE43" s="22"/>
    </row>
    <row r="44" spans="2:35" x14ac:dyDescent="0.25">
      <c r="F44" s="22"/>
      <c r="K44" s="22"/>
      <c r="P44" s="22"/>
      <c r="U44" s="22"/>
      <c r="Z44" s="22"/>
      <c r="AE44" s="22"/>
    </row>
    <row r="45" spans="2:35" x14ac:dyDescent="0.25">
      <c r="F45" s="22"/>
      <c r="K45" s="22"/>
      <c r="P45" s="22"/>
      <c r="U45" s="22"/>
      <c r="Z45" s="22"/>
      <c r="AE45" s="22"/>
    </row>
    <row r="46" spans="2:35" x14ac:dyDescent="0.25">
      <c r="F46" s="22"/>
      <c r="K46" s="22"/>
      <c r="P46" s="22"/>
      <c r="U46" s="22"/>
      <c r="Z46" s="22"/>
      <c r="AE46" s="22"/>
    </row>
    <row r="47" spans="2:35" x14ac:dyDescent="0.25">
      <c r="F47" s="22"/>
      <c r="K47" s="22"/>
      <c r="P47" s="22"/>
      <c r="U47" s="22"/>
      <c r="Z47" s="22"/>
      <c r="AE47" s="22"/>
    </row>
    <row r="48" spans="2:35" x14ac:dyDescent="0.25">
      <c r="B48" s="24"/>
      <c r="F48" s="22"/>
      <c r="G48" s="24"/>
      <c r="I48" s="24"/>
      <c r="K48" s="22"/>
      <c r="L48" s="24"/>
      <c r="N48" s="24"/>
      <c r="P48" s="22"/>
      <c r="Q48" s="24"/>
      <c r="S48" s="24"/>
      <c r="U48" s="22"/>
      <c r="V48" s="24"/>
      <c r="X48" s="24"/>
      <c r="Z48" s="22"/>
      <c r="AA48" s="24"/>
      <c r="AB48" s="24"/>
      <c r="AD48" s="24"/>
      <c r="AE48" s="22"/>
      <c r="AF48" s="24"/>
      <c r="AG48" s="24"/>
      <c r="AH48" s="24"/>
      <c r="AI48" s="24"/>
    </row>
    <row r="49" spans="2:35" x14ac:dyDescent="0.25">
      <c r="B49" s="24"/>
      <c r="F49" s="22"/>
      <c r="G49" s="24"/>
      <c r="I49" s="24"/>
      <c r="K49" s="22"/>
      <c r="L49" s="24"/>
      <c r="N49" s="24"/>
      <c r="P49" s="22"/>
      <c r="Q49" s="24"/>
      <c r="S49" s="24"/>
      <c r="U49" s="22"/>
      <c r="V49" s="24"/>
      <c r="X49" s="24"/>
      <c r="Z49" s="22"/>
      <c r="AA49" s="24"/>
      <c r="AB49" s="24"/>
      <c r="AD49" s="24"/>
      <c r="AE49" s="22"/>
      <c r="AF49" s="24"/>
      <c r="AG49" s="24"/>
      <c r="AH49" s="24"/>
      <c r="AI49" s="24"/>
    </row>
    <row r="50" spans="2:35" x14ac:dyDescent="0.25">
      <c r="F50" s="22"/>
      <c r="K50" s="22"/>
      <c r="P50" s="22"/>
      <c r="U50" s="22"/>
      <c r="Z50" s="22"/>
      <c r="AE50" s="22"/>
    </row>
    <row r="51" spans="2:35" x14ac:dyDescent="0.25">
      <c r="F51" s="22"/>
      <c r="K51" s="22"/>
      <c r="P51" s="22"/>
      <c r="U51" s="22"/>
      <c r="Z51" s="22"/>
      <c r="AE51" s="22"/>
    </row>
    <row r="52" spans="2:35" x14ac:dyDescent="0.25">
      <c r="F52" s="22"/>
      <c r="K52" s="22"/>
      <c r="P52" s="22"/>
      <c r="U52" s="22"/>
      <c r="Z52" s="22"/>
      <c r="AE52" s="22"/>
    </row>
    <row r="53" spans="2:35" x14ac:dyDescent="0.25">
      <c r="F53" s="22"/>
      <c r="K53" s="22"/>
      <c r="P53" s="22"/>
      <c r="U53" s="22"/>
      <c r="Z53" s="22"/>
      <c r="AE53" s="22"/>
    </row>
    <row r="54" spans="2:35" x14ac:dyDescent="0.25">
      <c r="B54" s="25"/>
      <c r="C54" s="124"/>
      <c r="D54" s="124"/>
      <c r="E54" s="124"/>
      <c r="F54" s="124"/>
      <c r="G54" s="124"/>
      <c r="H54" s="124"/>
      <c r="I54" s="25"/>
      <c r="J54" s="124"/>
      <c r="K54" s="124"/>
      <c r="L54" s="25"/>
      <c r="M54" s="124"/>
      <c r="N54" s="124"/>
      <c r="O54" s="124"/>
      <c r="P54" s="124"/>
      <c r="Q54" s="124"/>
      <c r="R54" s="25"/>
      <c r="U54" s="22"/>
      <c r="Z54" s="22"/>
      <c r="AE54" s="22"/>
    </row>
    <row r="55" spans="2:35" x14ac:dyDescent="0.25">
      <c r="B55" s="25"/>
      <c r="C55" s="124"/>
      <c r="D55" s="124"/>
      <c r="E55" s="124"/>
      <c r="F55" s="124"/>
      <c r="G55" s="124"/>
      <c r="H55" s="124"/>
      <c r="I55" s="25"/>
      <c r="J55" s="124"/>
      <c r="K55" s="124"/>
      <c r="L55" s="25"/>
      <c r="M55" s="29"/>
      <c r="N55" s="23"/>
      <c r="O55" s="123"/>
      <c r="P55" s="123"/>
      <c r="Q55" s="30"/>
      <c r="R55" s="25"/>
      <c r="S55" s="25"/>
      <c r="U55" s="22"/>
      <c r="Z55" s="22"/>
      <c r="AE55" s="22"/>
    </row>
    <row r="56" spans="2:35" x14ac:dyDescent="0.25">
      <c r="B56" s="25"/>
      <c r="C56" s="124"/>
      <c r="D56" s="124"/>
      <c r="E56" s="124"/>
      <c r="F56" s="124"/>
      <c r="G56" s="124"/>
      <c r="H56" s="124"/>
      <c r="I56" s="25"/>
      <c r="J56" s="124"/>
      <c r="K56" s="124"/>
      <c r="L56" s="25"/>
      <c r="M56" s="29"/>
      <c r="N56" s="23"/>
      <c r="O56" s="123"/>
      <c r="P56" s="123"/>
      <c r="Q56" s="30"/>
      <c r="R56" s="25"/>
      <c r="S56" s="25"/>
      <c r="U56" s="22"/>
      <c r="Z56" s="22"/>
      <c r="AE56" s="22"/>
    </row>
    <row r="57" spans="2:35" x14ac:dyDescent="0.25">
      <c r="B57" s="25"/>
      <c r="C57" s="124"/>
      <c r="D57" s="124"/>
      <c r="E57" s="124"/>
      <c r="F57" s="124"/>
      <c r="G57" s="124"/>
      <c r="H57" s="124"/>
      <c r="I57" s="25"/>
      <c r="J57" s="124"/>
      <c r="K57" s="124"/>
      <c r="L57" s="25"/>
      <c r="M57" s="29"/>
      <c r="N57" s="23"/>
      <c r="O57" s="123"/>
      <c r="P57" s="123"/>
      <c r="Q57" s="30"/>
      <c r="R57" s="25"/>
      <c r="S57" s="25"/>
      <c r="U57" s="22"/>
      <c r="Z57" s="22"/>
      <c r="AE57" s="22"/>
    </row>
    <row r="58" spans="2:35" x14ac:dyDescent="0.25">
      <c r="B58" s="25"/>
      <c r="C58" s="124"/>
      <c r="D58" s="124"/>
      <c r="E58" s="124"/>
      <c r="F58" s="124"/>
      <c r="G58" s="124"/>
      <c r="H58" s="124"/>
      <c r="I58" s="25"/>
      <c r="J58" s="124"/>
      <c r="K58" s="124"/>
      <c r="L58" s="25"/>
      <c r="M58" s="29"/>
      <c r="N58" s="23"/>
      <c r="O58" s="123"/>
      <c r="P58" s="123"/>
      <c r="Q58" s="30"/>
      <c r="R58" s="25"/>
      <c r="S58" s="25"/>
      <c r="U58" s="22"/>
      <c r="Z58" s="22"/>
      <c r="AE58" s="22"/>
    </row>
    <row r="59" spans="2:35" x14ac:dyDescent="0.25">
      <c r="B59" s="25"/>
      <c r="C59" s="124"/>
      <c r="D59" s="124"/>
      <c r="E59" s="124"/>
      <c r="F59" s="124"/>
      <c r="G59" s="124"/>
      <c r="H59" s="124"/>
      <c r="I59" s="25"/>
      <c r="J59" s="124"/>
      <c r="K59" s="124"/>
      <c r="L59" s="25"/>
      <c r="M59" s="29"/>
      <c r="N59" s="23"/>
      <c r="O59" s="123"/>
      <c r="P59" s="123"/>
      <c r="Q59" s="30"/>
      <c r="R59" s="25"/>
      <c r="S59" s="25"/>
      <c r="U59" s="22"/>
      <c r="Z59" s="22"/>
      <c r="AE59" s="22"/>
    </row>
    <row r="60" spans="2:35" ht="15.75" customHeight="1" x14ac:dyDescent="0.25">
      <c r="B60" s="25"/>
      <c r="C60" s="126"/>
      <c r="D60" s="126"/>
      <c r="E60" s="126"/>
      <c r="F60" s="126"/>
      <c r="G60" s="126"/>
      <c r="H60" s="126"/>
      <c r="I60" s="25"/>
      <c r="J60" s="126"/>
      <c r="K60" s="126"/>
      <c r="L60" s="28"/>
      <c r="M60" s="31"/>
      <c r="N60" s="23"/>
      <c r="O60" s="125"/>
      <c r="P60" s="125"/>
      <c r="Q60" s="32"/>
      <c r="R60" s="25"/>
      <c r="S60" s="28"/>
      <c r="U60" s="22"/>
      <c r="Z60" s="22"/>
      <c r="AE60" s="22"/>
    </row>
    <row r="61" spans="2:35" x14ac:dyDescent="0.25">
      <c r="B61" s="25"/>
      <c r="C61" s="124"/>
      <c r="D61" s="124"/>
      <c r="E61" s="124"/>
      <c r="F61" s="124"/>
      <c r="G61" s="124"/>
      <c r="H61" s="124"/>
      <c r="I61" s="25"/>
      <c r="J61" s="124"/>
      <c r="K61" s="124"/>
      <c r="L61" s="25"/>
      <c r="M61" s="29"/>
      <c r="N61" s="23"/>
      <c r="O61" s="123"/>
      <c r="P61" s="123"/>
      <c r="Q61" s="30"/>
      <c r="R61" s="25"/>
      <c r="S61" s="25"/>
      <c r="U61" s="22"/>
      <c r="Z61" s="22"/>
      <c r="AE61" s="22"/>
    </row>
    <row r="62" spans="2:35" x14ac:dyDescent="0.25">
      <c r="B62" s="25"/>
      <c r="C62" s="124"/>
      <c r="D62" s="124"/>
      <c r="E62" s="124"/>
      <c r="F62" s="124"/>
      <c r="G62" s="124"/>
      <c r="H62" s="124"/>
      <c r="I62" s="25"/>
      <c r="J62" s="124"/>
      <c r="K62" s="124"/>
      <c r="L62" s="25"/>
      <c r="M62" s="29"/>
      <c r="N62" s="23"/>
      <c r="O62" s="123"/>
      <c r="P62" s="123"/>
      <c r="Q62" s="30"/>
      <c r="R62" s="25"/>
      <c r="S62" s="25"/>
      <c r="U62" s="22"/>
      <c r="Z62" s="22"/>
      <c r="AE62" s="22"/>
    </row>
    <row r="63" spans="2:35" x14ac:dyDescent="0.25">
      <c r="B63" s="25"/>
      <c r="C63" s="124"/>
      <c r="D63" s="124"/>
      <c r="E63" s="124"/>
      <c r="F63" s="124"/>
      <c r="G63" s="124"/>
      <c r="H63" s="124"/>
      <c r="I63" s="25"/>
      <c r="J63" s="124"/>
      <c r="K63" s="124"/>
      <c r="L63" s="25"/>
      <c r="M63" s="29"/>
      <c r="N63" s="23"/>
      <c r="O63" s="123"/>
      <c r="P63" s="123"/>
      <c r="Q63" s="30"/>
      <c r="R63" s="25"/>
      <c r="S63" s="25"/>
      <c r="U63" s="22"/>
      <c r="Z63" s="22"/>
      <c r="AE63" s="22"/>
    </row>
    <row r="64" spans="2:35" x14ac:dyDescent="0.25">
      <c r="B64" s="25"/>
      <c r="C64" s="124"/>
      <c r="D64" s="124"/>
      <c r="E64" s="124"/>
      <c r="F64" s="124"/>
      <c r="G64" s="124"/>
      <c r="H64" s="124"/>
      <c r="I64" s="25"/>
      <c r="J64" s="124"/>
      <c r="K64" s="124"/>
      <c r="L64" s="25"/>
      <c r="M64" s="29"/>
      <c r="N64" s="23"/>
      <c r="O64" s="123"/>
      <c r="P64" s="123"/>
      <c r="Q64" s="30"/>
      <c r="R64" s="25"/>
      <c r="S64" s="25"/>
      <c r="U64" s="22"/>
      <c r="Z64" s="22"/>
      <c r="AE64" s="22"/>
    </row>
    <row r="65" spans="2:31" x14ac:dyDescent="0.25">
      <c r="B65" s="25"/>
      <c r="C65" s="124"/>
      <c r="D65" s="124"/>
      <c r="E65" s="124"/>
      <c r="F65" s="124"/>
      <c r="G65" s="124"/>
      <c r="H65" s="124"/>
      <c r="I65" s="25"/>
      <c r="J65" s="124"/>
      <c r="K65" s="124"/>
      <c r="L65" s="25"/>
      <c r="M65" s="29"/>
      <c r="N65" s="23"/>
      <c r="O65" s="123"/>
      <c r="P65" s="123"/>
      <c r="Q65" s="30"/>
      <c r="R65" s="25"/>
      <c r="S65" s="25"/>
      <c r="U65" s="22"/>
      <c r="Z65" s="22"/>
      <c r="AE65" s="22"/>
    </row>
    <row r="66" spans="2:31" x14ac:dyDescent="0.25">
      <c r="B66" s="25"/>
      <c r="C66" s="124"/>
      <c r="D66" s="124"/>
      <c r="E66" s="124"/>
      <c r="F66" s="124"/>
      <c r="G66" s="124"/>
      <c r="H66" s="124"/>
      <c r="I66" s="25"/>
      <c r="J66" s="124"/>
      <c r="K66" s="124"/>
      <c r="L66" s="25"/>
      <c r="M66" s="29"/>
      <c r="N66" s="23"/>
      <c r="O66" s="123"/>
      <c r="P66" s="123"/>
      <c r="Q66" s="30"/>
      <c r="R66" s="25"/>
      <c r="S66" s="25"/>
      <c r="U66" s="22"/>
      <c r="Z66" s="22"/>
      <c r="AE66" s="22"/>
    </row>
    <row r="67" spans="2:31" x14ac:dyDescent="0.25">
      <c r="F67" s="22"/>
      <c r="K67" s="22"/>
      <c r="P67" s="22"/>
      <c r="U67" s="22"/>
      <c r="Z67" s="22"/>
      <c r="AE67" s="22"/>
    </row>
    <row r="68" spans="2:31" x14ac:dyDescent="0.25">
      <c r="F68" s="22"/>
      <c r="K68" s="22"/>
      <c r="P68" s="22"/>
      <c r="U68" s="22"/>
      <c r="Z68" s="22"/>
      <c r="AE68" s="22"/>
    </row>
    <row r="69" spans="2:31" x14ac:dyDescent="0.25">
      <c r="F69" s="22"/>
      <c r="K69" s="22"/>
      <c r="P69" s="22"/>
      <c r="U69" s="22"/>
      <c r="Z69" s="22"/>
      <c r="AE69" s="22"/>
    </row>
    <row r="70" spans="2:31" x14ac:dyDescent="0.25">
      <c r="B70" s="25"/>
      <c r="C70" s="124"/>
      <c r="D70" s="124"/>
      <c r="E70" s="124"/>
      <c r="F70" s="124"/>
      <c r="G70" s="124"/>
      <c r="H70" s="124"/>
      <c r="I70" s="25"/>
      <c r="J70" s="124"/>
      <c r="K70" s="124"/>
      <c r="L70" s="25"/>
      <c r="M70" s="25"/>
      <c r="O70" s="124"/>
      <c r="P70" s="124"/>
      <c r="Q70" s="25"/>
      <c r="R70" s="25"/>
      <c r="U70" s="22"/>
      <c r="Z70" s="22"/>
      <c r="AE70" s="22"/>
    </row>
    <row r="71" spans="2:31" x14ac:dyDescent="0.25">
      <c r="F71" s="22"/>
      <c r="K71" s="22"/>
      <c r="P71" s="22"/>
      <c r="U71" s="22"/>
      <c r="Z71" s="22"/>
      <c r="AE71" s="22"/>
    </row>
    <row r="72" spans="2:31" x14ac:dyDescent="0.25">
      <c r="F72" s="22"/>
      <c r="K72" s="22"/>
      <c r="P72" s="22"/>
      <c r="U72" s="22"/>
      <c r="Z72" s="22"/>
      <c r="AE72" s="22"/>
    </row>
    <row r="73" spans="2:31" ht="15.75" customHeight="1" x14ac:dyDescent="0.25">
      <c r="F73" s="22"/>
      <c r="K73" s="22"/>
      <c r="P73" s="22"/>
      <c r="U73" s="22"/>
      <c r="Z73" s="22"/>
      <c r="AE73" s="22"/>
    </row>
    <row r="74" spans="2:31" x14ac:dyDescent="0.25">
      <c r="F74" s="22"/>
      <c r="K74" s="22"/>
      <c r="P74" s="22"/>
      <c r="U74" s="22"/>
      <c r="Z74" s="22"/>
      <c r="AE74" s="22"/>
    </row>
    <row r="75" spans="2:31" x14ac:dyDescent="0.25">
      <c r="F75" s="22"/>
      <c r="K75" s="22"/>
      <c r="P75" s="22"/>
      <c r="U75" s="22"/>
      <c r="Z75" s="22"/>
      <c r="AE75" s="22"/>
    </row>
    <row r="76" spans="2:31" x14ac:dyDescent="0.25">
      <c r="F76" s="22"/>
      <c r="K76" s="22"/>
      <c r="P76" s="22"/>
      <c r="U76" s="22"/>
      <c r="Z76" s="22"/>
      <c r="AE76" s="22"/>
    </row>
    <row r="77" spans="2:31" x14ac:dyDescent="0.25">
      <c r="F77" s="22"/>
      <c r="K77" s="22"/>
      <c r="P77" s="22"/>
      <c r="U77" s="22"/>
      <c r="Z77" s="22"/>
      <c r="AE77" s="22"/>
    </row>
    <row r="78" spans="2:31" x14ac:dyDescent="0.25">
      <c r="F78" s="22"/>
      <c r="K78" s="22"/>
      <c r="P78" s="22"/>
      <c r="U78" s="22"/>
      <c r="Z78" s="22"/>
      <c r="AE78" s="22"/>
    </row>
    <row r="79" spans="2:31" x14ac:dyDescent="0.25">
      <c r="F79" s="22"/>
      <c r="K79" s="22"/>
      <c r="P79" s="22"/>
      <c r="U79" s="22"/>
      <c r="Z79" s="22"/>
      <c r="AE79" s="22"/>
    </row>
    <row r="80" spans="2:31" x14ac:dyDescent="0.25">
      <c r="F80" s="22"/>
      <c r="K80" s="22"/>
      <c r="P80" s="22"/>
      <c r="U80" s="22"/>
      <c r="Z80" s="22"/>
      <c r="AE80" s="22"/>
    </row>
    <row r="81" spans="6:31" x14ac:dyDescent="0.25">
      <c r="F81" s="22"/>
      <c r="K81" s="22"/>
      <c r="P81" s="22"/>
      <c r="U81" s="22"/>
      <c r="Z81" s="22"/>
      <c r="AE81" s="22"/>
    </row>
    <row r="82" spans="6:31" x14ac:dyDescent="0.25">
      <c r="F82" s="22"/>
      <c r="K82" s="22"/>
      <c r="P82" s="22"/>
      <c r="U82" s="22"/>
      <c r="Z82" s="22"/>
      <c r="AE82" s="22"/>
    </row>
    <row r="83" spans="6:31" x14ac:dyDescent="0.25">
      <c r="F83" s="22"/>
      <c r="K83" s="22"/>
      <c r="P83" s="22"/>
      <c r="U83" s="22"/>
      <c r="Z83" s="22"/>
      <c r="AE83" s="22"/>
    </row>
    <row r="84" spans="6:31" x14ac:dyDescent="0.25">
      <c r="F84" s="22"/>
      <c r="K84" s="22"/>
      <c r="P84" s="22"/>
      <c r="U84" s="22"/>
      <c r="Z84" s="22"/>
      <c r="AE84" s="22"/>
    </row>
    <row r="85" spans="6:31" x14ac:dyDescent="0.25">
      <c r="F85" s="22"/>
      <c r="K85" s="22"/>
      <c r="P85" s="22"/>
      <c r="U85" s="22"/>
      <c r="Z85" s="22"/>
      <c r="AE85" s="22"/>
    </row>
    <row r="86" spans="6:31" x14ac:dyDescent="0.25">
      <c r="F86" s="22"/>
      <c r="K86" s="22"/>
      <c r="P86" s="22"/>
      <c r="U86" s="22"/>
      <c r="Z86" s="22"/>
      <c r="AE86" s="22"/>
    </row>
    <row r="87" spans="6:31" x14ac:dyDescent="0.25">
      <c r="F87" s="22"/>
      <c r="K87" s="22"/>
      <c r="P87" s="22"/>
      <c r="U87" s="22"/>
      <c r="Z87" s="22"/>
      <c r="AE87" s="22"/>
    </row>
    <row r="88" spans="6:31" x14ac:dyDescent="0.25">
      <c r="F88" s="22"/>
      <c r="K88" s="22"/>
      <c r="P88" s="22"/>
      <c r="U88" s="22"/>
      <c r="Z88" s="22"/>
      <c r="AE88" s="22"/>
    </row>
    <row r="89" spans="6:31" x14ac:dyDescent="0.25">
      <c r="F89" s="22"/>
      <c r="K89" s="22"/>
      <c r="P89" s="22"/>
      <c r="U89" s="22"/>
      <c r="Z89" s="22"/>
      <c r="AE89" s="22"/>
    </row>
    <row r="90" spans="6:31" x14ac:dyDescent="0.25">
      <c r="F90" s="22"/>
      <c r="K90" s="22"/>
      <c r="P90" s="22"/>
      <c r="U90" s="22"/>
      <c r="Z90" s="22"/>
      <c r="AE90" s="22"/>
    </row>
    <row r="91" spans="6:31" x14ac:dyDescent="0.25">
      <c r="F91" s="22"/>
      <c r="K91" s="22"/>
      <c r="P91" s="22"/>
      <c r="U91" s="22"/>
      <c r="Z91" s="22"/>
      <c r="AE91" s="22"/>
    </row>
    <row r="92" spans="6:31" x14ac:dyDescent="0.25">
      <c r="F92" s="22"/>
      <c r="K92" s="22"/>
      <c r="P92" s="22"/>
      <c r="U92" s="22"/>
      <c r="Z92" s="22"/>
      <c r="AE92" s="22"/>
    </row>
    <row r="93" spans="6:31" x14ac:dyDescent="0.25">
      <c r="F93" s="22"/>
      <c r="K93" s="22"/>
      <c r="P93" s="22"/>
      <c r="U93" s="22"/>
      <c r="Z93" s="22"/>
      <c r="AE93" s="22"/>
    </row>
    <row r="94" spans="6:31" x14ac:dyDescent="0.25">
      <c r="F94" s="22"/>
      <c r="K94" s="22"/>
      <c r="P94" s="22"/>
      <c r="U94" s="22"/>
      <c r="Z94" s="22"/>
      <c r="AE94" s="22"/>
    </row>
    <row r="95" spans="6:31" x14ac:dyDescent="0.25">
      <c r="F95" s="22"/>
      <c r="K95" s="22"/>
      <c r="P95" s="22"/>
      <c r="U95" s="22"/>
      <c r="Z95" s="22"/>
      <c r="AE95" s="22"/>
    </row>
    <row r="96" spans="6:31" x14ac:dyDescent="0.25">
      <c r="F96" s="22"/>
      <c r="K96" s="22"/>
      <c r="P96" s="22"/>
      <c r="U96" s="22"/>
      <c r="Z96" s="22"/>
      <c r="AE96" s="22"/>
    </row>
    <row r="97" spans="6:31" x14ac:dyDescent="0.25">
      <c r="F97" s="22"/>
      <c r="K97" s="22"/>
      <c r="P97" s="22"/>
      <c r="U97" s="22"/>
      <c r="Z97" s="22"/>
      <c r="AE97" s="22"/>
    </row>
    <row r="98" spans="6:31" x14ac:dyDescent="0.25">
      <c r="F98" s="22"/>
      <c r="K98" s="22"/>
      <c r="P98" s="22"/>
      <c r="U98" s="22"/>
      <c r="Z98" s="22"/>
      <c r="AE98" s="22"/>
    </row>
    <row r="99" spans="6:31" x14ac:dyDescent="0.25">
      <c r="F99" s="22"/>
      <c r="K99" s="22"/>
      <c r="P99" s="22"/>
      <c r="U99" s="22"/>
      <c r="Z99" s="22"/>
      <c r="AE99" s="22"/>
    </row>
    <row r="100" spans="6:31" x14ac:dyDescent="0.25">
      <c r="F100" s="22"/>
      <c r="K100" s="22"/>
      <c r="P100" s="22"/>
      <c r="U100" s="22"/>
      <c r="Z100" s="22"/>
      <c r="AE100" s="22"/>
    </row>
    <row r="101" spans="6:31" x14ac:dyDescent="0.25">
      <c r="F101" s="22"/>
      <c r="K101" s="22"/>
      <c r="P101" s="22"/>
      <c r="U101" s="22"/>
      <c r="Z101" s="22"/>
      <c r="AE101" s="22"/>
    </row>
    <row r="102" spans="6:31" x14ac:dyDescent="0.25">
      <c r="F102" s="22"/>
      <c r="K102" s="22"/>
      <c r="P102" s="22"/>
      <c r="U102" s="22"/>
      <c r="Z102" s="22"/>
      <c r="AE102" s="22"/>
    </row>
    <row r="103" spans="6:31" x14ac:dyDescent="0.25">
      <c r="F103" s="22"/>
      <c r="K103" s="22"/>
      <c r="P103" s="22"/>
      <c r="U103" s="22"/>
      <c r="Z103" s="22"/>
      <c r="AE103" s="22"/>
    </row>
    <row r="104" spans="6:31" x14ac:dyDescent="0.25">
      <c r="F104" s="22"/>
      <c r="K104" s="22"/>
      <c r="P104" s="22"/>
      <c r="U104" s="22"/>
      <c r="Z104" s="22"/>
      <c r="AE104" s="22"/>
    </row>
    <row r="105" spans="6:31" x14ac:dyDescent="0.25">
      <c r="F105" s="22"/>
      <c r="K105" s="22"/>
      <c r="P105" s="22"/>
      <c r="U105" s="22"/>
      <c r="Z105" s="22"/>
      <c r="AE105" s="22"/>
    </row>
    <row r="106" spans="6:31" x14ac:dyDescent="0.25">
      <c r="F106" s="22"/>
      <c r="K106" s="22"/>
      <c r="P106" s="22"/>
      <c r="U106" s="22"/>
      <c r="Z106" s="22"/>
      <c r="AE106" s="22"/>
    </row>
    <row r="107" spans="6:31" x14ac:dyDescent="0.25">
      <c r="F107" s="22"/>
      <c r="K107" s="22"/>
      <c r="P107" s="22"/>
      <c r="U107" s="22"/>
      <c r="Z107" s="22"/>
      <c r="AE107" s="22"/>
    </row>
    <row r="108" spans="6:31" x14ac:dyDescent="0.25">
      <c r="F108" s="22"/>
      <c r="K108" s="22"/>
      <c r="P108" s="22"/>
      <c r="U108" s="22"/>
      <c r="Z108" s="22"/>
      <c r="AE108" s="22"/>
    </row>
    <row r="109" spans="6:31" x14ac:dyDescent="0.25">
      <c r="F109" s="22"/>
      <c r="K109" s="22"/>
      <c r="P109" s="22"/>
      <c r="U109" s="22"/>
      <c r="Z109" s="22"/>
      <c r="AE109" s="22"/>
    </row>
    <row r="110" spans="6:31" x14ac:dyDescent="0.25">
      <c r="F110" s="22"/>
      <c r="K110" s="22"/>
      <c r="P110" s="22"/>
      <c r="U110" s="22"/>
      <c r="Z110" s="22"/>
      <c r="AE110" s="22"/>
    </row>
    <row r="111" spans="6:31" x14ac:dyDescent="0.25">
      <c r="F111" s="22"/>
      <c r="K111" s="22"/>
      <c r="P111" s="22"/>
      <c r="U111" s="22"/>
      <c r="Z111" s="22"/>
      <c r="AE111" s="22"/>
    </row>
    <row r="112" spans="6:31" x14ac:dyDescent="0.25">
      <c r="F112" s="22"/>
      <c r="K112" s="22"/>
      <c r="P112" s="22"/>
      <c r="U112" s="22"/>
      <c r="Z112" s="22"/>
      <c r="AE112" s="22"/>
    </row>
    <row r="113" spans="6:31" x14ac:dyDescent="0.25">
      <c r="F113" s="22"/>
      <c r="K113" s="22"/>
      <c r="P113" s="22"/>
      <c r="U113" s="22"/>
      <c r="Z113" s="22"/>
      <c r="AE113" s="22"/>
    </row>
    <row r="114" spans="6:31" x14ac:dyDescent="0.25">
      <c r="F114" s="22"/>
      <c r="K114" s="22"/>
      <c r="P114" s="22"/>
      <c r="U114" s="22"/>
      <c r="Z114" s="22"/>
      <c r="AE114" s="22"/>
    </row>
    <row r="115" spans="6:31" x14ac:dyDescent="0.25">
      <c r="F115" s="22"/>
      <c r="K115" s="22"/>
      <c r="P115" s="22"/>
      <c r="U115" s="22"/>
      <c r="Z115" s="22"/>
      <c r="AE115" s="22"/>
    </row>
    <row r="116" spans="6:31" x14ac:dyDescent="0.25">
      <c r="F116" s="22"/>
      <c r="K116" s="22"/>
      <c r="P116" s="22"/>
      <c r="U116" s="22"/>
      <c r="Z116" s="22"/>
      <c r="AE116" s="22"/>
    </row>
    <row r="117" spans="6:31" x14ac:dyDescent="0.25">
      <c r="F117" s="22"/>
      <c r="K117" s="22"/>
      <c r="P117" s="22"/>
      <c r="U117" s="22"/>
      <c r="Z117" s="22"/>
      <c r="AE117" s="22"/>
    </row>
    <row r="118" spans="6:31" x14ac:dyDescent="0.25">
      <c r="F118" s="22"/>
      <c r="K118" s="22"/>
      <c r="P118" s="22"/>
      <c r="U118" s="22"/>
      <c r="Z118" s="22"/>
      <c r="AE118" s="22"/>
    </row>
    <row r="119" spans="6:31" x14ac:dyDescent="0.25">
      <c r="F119" s="22"/>
      <c r="K119" s="22"/>
      <c r="P119" s="22"/>
      <c r="U119" s="22"/>
      <c r="Z119" s="22"/>
      <c r="AE119" s="22"/>
    </row>
    <row r="120" spans="6:31" x14ac:dyDescent="0.25">
      <c r="F120" s="22"/>
      <c r="K120" s="22"/>
      <c r="P120" s="22"/>
      <c r="U120" s="22"/>
      <c r="Z120" s="22"/>
      <c r="AE120" s="22"/>
    </row>
    <row r="121" spans="6:31" x14ac:dyDescent="0.25">
      <c r="F121" s="22"/>
      <c r="K121" s="22"/>
      <c r="P121" s="22"/>
      <c r="U121" s="22"/>
      <c r="Z121" s="22"/>
      <c r="AE121" s="22"/>
    </row>
    <row r="122" spans="6:31" x14ac:dyDescent="0.25">
      <c r="F122" s="22"/>
      <c r="K122" s="22"/>
      <c r="P122" s="22"/>
      <c r="U122" s="22"/>
      <c r="Z122" s="22"/>
      <c r="AE122" s="22"/>
    </row>
    <row r="123" spans="6:31" x14ac:dyDescent="0.25">
      <c r="F123" s="22"/>
      <c r="K123" s="22"/>
      <c r="P123" s="22"/>
      <c r="U123" s="22"/>
      <c r="Z123" s="22"/>
      <c r="AE123" s="22"/>
    </row>
    <row r="124" spans="6:31" x14ac:dyDescent="0.25">
      <c r="F124" s="22"/>
      <c r="K124" s="22"/>
      <c r="P124" s="22"/>
      <c r="U124" s="22"/>
      <c r="Z124" s="22"/>
      <c r="AE124" s="22"/>
    </row>
    <row r="125" spans="6:31" x14ac:dyDescent="0.25">
      <c r="F125" s="22"/>
      <c r="K125" s="22"/>
      <c r="P125" s="22"/>
      <c r="U125" s="22"/>
      <c r="Z125" s="22"/>
      <c r="AE125" s="22"/>
    </row>
    <row r="126" spans="6:31" x14ac:dyDescent="0.25">
      <c r="F126" s="22"/>
      <c r="K126" s="22"/>
      <c r="P126" s="22"/>
      <c r="U126" s="22"/>
      <c r="Z126" s="22"/>
      <c r="AE126" s="22"/>
    </row>
    <row r="127" spans="6:31" x14ac:dyDescent="0.25">
      <c r="F127" s="22"/>
      <c r="K127" s="22"/>
      <c r="P127" s="22"/>
      <c r="U127" s="22"/>
      <c r="Z127" s="22"/>
      <c r="AE127" s="22"/>
    </row>
    <row r="128" spans="6:31" x14ac:dyDescent="0.25">
      <c r="F128" s="22"/>
      <c r="K128" s="22"/>
      <c r="P128" s="22"/>
      <c r="U128" s="22"/>
      <c r="Z128" s="22"/>
      <c r="AE128" s="22"/>
    </row>
    <row r="129" spans="6:31" x14ac:dyDescent="0.25">
      <c r="F129" s="22"/>
      <c r="K129" s="22"/>
      <c r="P129" s="22"/>
      <c r="U129" s="22"/>
      <c r="Z129" s="22"/>
      <c r="AE129" s="22"/>
    </row>
    <row r="130" spans="6:31" x14ac:dyDescent="0.25">
      <c r="F130" s="22"/>
      <c r="K130" s="22"/>
      <c r="P130" s="22"/>
      <c r="U130" s="22"/>
      <c r="Z130" s="22"/>
      <c r="AE130" s="22"/>
    </row>
    <row r="131" spans="6:31" x14ac:dyDescent="0.25">
      <c r="F131" s="22"/>
      <c r="K131" s="22"/>
      <c r="P131" s="22"/>
      <c r="U131" s="22"/>
      <c r="Z131" s="22"/>
      <c r="AE131" s="22"/>
    </row>
    <row r="132" spans="6:31" x14ac:dyDescent="0.25">
      <c r="F132" s="22"/>
      <c r="K132" s="22"/>
      <c r="P132" s="22"/>
      <c r="U132" s="22"/>
      <c r="Z132" s="22"/>
      <c r="AE132" s="22"/>
    </row>
    <row r="133" spans="6:31" x14ac:dyDescent="0.25">
      <c r="F133" s="22"/>
      <c r="K133" s="22"/>
      <c r="P133" s="22"/>
      <c r="U133" s="22"/>
      <c r="Z133" s="22"/>
      <c r="AE133" s="22"/>
    </row>
    <row r="134" spans="6:31" x14ac:dyDescent="0.25">
      <c r="F134" s="22"/>
      <c r="K134" s="22"/>
      <c r="P134" s="22"/>
      <c r="U134" s="22"/>
      <c r="Z134" s="22"/>
      <c r="AE134" s="22"/>
    </row>
    <row r="135" spans="6:31" x14ac:dyDescent="0.25">
      <c r="F135" s="22"/>
      <c r="K135" s="22"/>
      <c r="P135" s="22"/>
      <c r="U135" s="22"/>
      <c r="Z135" s="22"/>
      <c r="AE135" s="22"/>
    </row>
    <row r="136" spans="6:31" x14ac:dyDescent="0.25">
      <c r="F136" s="22"/>
      <c r="K136" s="22"/>
      <c r="P136" s="22"/>
      <c r="U136" s="22"/>
      <c r="Z136" s="22"/>
      <c r="AE136" s="22"/>
    </row>
    <row r="137" spans="6:31" x14ac:dyDescent="0.25">
      <c r="F137" s="22"/>
      <c r="K137" s="22"/>
      <c r="P137" s="22"/>
      <c r="U137" s="22"/>
      <c r="Z137" s="22"/>
      <c r="AE137" s="22"/>
    </row>
    <row r="138" spans="6:31" x14ac:dyDescent="0.25">
      <c r="F138" s="22"/>
      <c r="K138" s="22"/>
      <c r="P138" s="22"/>
      <c r="U138" s="22"/>
      <c r="Z138" s="22"/>
      <c r="AE138" s="22"/>
    </row>
    <row r="139" spans="6:31" x14ac:dyDescent="0.25">
      <c r="F139" s="22"/>
      <c r="K139" s="22"/>
      <c r="P139" s="22"/>
      <c r="U139" s="22"/>
      <c r="Z139" s="22"/>
      <c r="AE139" s="22"/>
    </row>
    <row r="140" spans="6:31" x14ac:dyDescent="0.25">
      <c r="F140" s="22"/>
      <c r="K140" s="22"/>
      <c r="P140" s="22"/>
      <c r="U140" s="22"/>
      <c r="Z140" s="22"/>
      <c r="AE140" s="22"/>
    </row>
    <row r="141" spans="6:31" x14ac:dyDescent="0.25">
      <c r="F141" s="22"/>
      <c r="K141" s="22"/>
      <c r="P141" s="22"/>
      <c r="U141" s="22"/>
      <c r="Z141" s="22"/>
      <c r="AE141" s="22"/>
    </row>
    <row r="142" spans="6:31" x14ac:dyDescent="0.25">
      <c r="F142" s="22"/>
      <c r="K142" s="22"/>
      <c r="P142" s="22"/>
      <c r="U142" s="22"/>
      <c r="Z142" s="22"/>
      <c r="AE142" s="22"/>
    </row>
    <row r="143" spans="6:31" x14ac:dyDescent="0.25">
      <c r="F143" s="22"/>
      <c r="K143" s="22"/>
      <c r="P143" s="22"/>
      <c r="U143" s="22"/>
      <c r="Z143" s="22"/>
      <c r="AE143" s="22"/>
    </row>
    <row r="144" spans="6:31" x14ac:dyDescent="0.25">
      <c r="F144" s="22"/>
      <c r="K144" s="22"/>
      <c r="P144" s="22"/>
      <c r="U144" s="22"/>
      <c r="Z144" s="22"/>
      <c r="AE144" s="22"/>
    </row>
    <row r="145" spans="6:31" x14ac:dyDescent="0.25">
      <c r="F145" s="22"/>
      <c r="K145" s="22"/>
      <c r="P145" s="22"/>
      <c r="U145" s="22"/>
      <c r="Z145" s="22"/>
      <c r="AE145" s="22"/>
    </row>
    <row r="146" spans="6:31" x14ac:dyDescent="0.25">
      <c r="F146" s="22"/>
      <c r="K146" s="22"/>
      <c r="P146" s="22"/>
      <c r="U146" s="22"/>
      <c r="Z146" s="22"/>
      <c r="AE146" s="22"/>
    </row>
    <row r="147" spans="6:31" x14ac:dyDescent="0.25">
      <c r="F147" s="22"/>
      <c r="K147" s="22"/>
      <c r="P147" s="22"/>
      <c r="U147" s="22"/>
      <c r="Z147" s="22"/>
      <c r="AE147" s="22"/>
    </row>
    <row r="148" spans="6:31" x14ac:dyDescent="0.25">
      <c r="F148" s="22"/>
      <c r="K148" s="22"/>
      <c r="P148" s="22"/>
      <c r="U148" s="22"/>
      <c r="Z148" s="22"/>
      <c r="AE148" s="22"/>
    </row>
    <row r="149" spans="6:31" x14ac:dyDescent="0.25">
      <c r="F149" s="22"/>
      <c r="K149" s="22"/>
      <c r="P149" s="22"/>
      <c r="U149" s="22"/>
      <c r="Z149" s="22"/>
      <c r="AE149" s="22"/>
    </row>
    <row r="150" spans="6:31" x14ac:dyDescent="0.25">
      <c r="F150" s="22"/>
      <c r="K150" s="22"/>
      <c r="P150" s="22"/>
      <c r="U150" s="22"/>
      <c r="Z150" s="22"/>
      <c r="AE150" s="22"/>
    </row>
    <row r="151" spans="6:31" x14ac:dyDescent="0.25">
      <c r="F151" s="22"/>
      <c r="K151" s="22"/>
      <c r="P151" s="22"/>
      <c r="U151" s="22"/>
      <c r="Z151" s="22"/>
      <c r="AE151" s="22"/>
    </row>
    <row r="152" spans="6:31" x14ac:dyDescent="0.25">
      <c r="F152" s="22"/>
      <c r="K152" s="22"/>
      <c r="P152" s="22"/>
      <c r="U152" s="22"/>
      <c r="Z152" s="22"/>
      <c r="AE152" s="22"/>
    </row>
    <row r="153" spans="6:31" x14ac:dyDescent="0.25">
      <c r="F153" s="22"/>
      <c r="K153" s="22"/>
      <c r="P153" s="22"/>
      <c r="U153" s="22"/>
      <c r="Z153" s="22"/>
      <c r="AE153" s="22"/>
    </row>
    <row r="154" spans="6:31" x14ac:dyDescent="0.25">
      <c r="F154" s="22"/>
      <c r="K154" s="22"/>
      <c r="P154" s="22"/>
      <c r="U154" s="22"/>
      <c r="Z154" s="22"/>
      <c r="AE154" s="22"/>
    </row>
    <row r="155" spans="6:31" x14ac:dyDescent="0.25">
      <c r="F155" s="22"/>
      <c r="K155" s="22"/>
      <c r="P155" s="22"/>
      <c r="U155" s="22"/>
      <c r="Z155" s="22"/>
      <c r="AE155" s="22"/>
    </row>
    <row r="156" spans="6:31" x14ac:dyDescent="0.25">
      <c r="F156" s="22"/>
      <c r="K156" s="22"/>
      <c r="P156" s="22"/>
      <c r="U156" s="22"/>
      <c r="Z156" s="22"/>
      <c r="AE156" s="22"/>
    </row>
    <row r="157" spans="6:31" x14ac:dyDescent="0.25">
      <c r="F157" s="22"/>
      <c r="K157" s="22"/>
      <c r="P157" s="22"/>
      <c r="U157" s="22"/>
      <c r="Z157" s="22"/>
      <c r="AE157" s="22"/>
    </row>
    <row r="158" spans="6:31" x14ac:dyDescent="0.25">
      <c r="F158" s="22"/>
      <c r="K158" s="22"/>
      <c r="P158" s="22"/>
      <c r="U158" s="22"/>
      <c r="Z158" s="22"/>
      <c r="AE158" s="22"/>
    </row>
    <row r="159" spans="6:31" x14ac:dyDescent="0.25">
      <c r="F159" s="22"/>
      <c r="K159" s="22"/>
      <c r="P159" s="22"/>
      <c r="U159" s="22"/>
      <c r="Z159" s="22"/>
      <c r="AE159" s="22"/>
    </row>
    <row r="160" spans="6:31" x14ac:dyDescent="0.25">
      <c r="F160" s="22"/>
      <c r="K160" s="22"/>
      <c r="P160" s="22"/>
      <c r="U160" s="22"/>
      <c r="Z160" s="22"/>
      <c r="AE160" s="22"/>
    </row>
    <row r="161" spans="6:31" x14ac:dyDescent="0.25">
      <c r="F161" s="22"/>
      <c r="K161" s="22"/>
      <c r="P161" s="22"/>
      <c r="U161" s="22"/>
      <c r="Z161" s="22"/>
      <c r="AE161" s="22"/>
    </row>
    <row r="162" spans="6:31" x14ac:dyDescent="0.25">
      <c r="F162" s="22"/>
      <c r="K162" s="22"/>
      <c r="P162" s="22"/>
      <c r="U162" s="22"/>
      <c r="Z162" s="22"/>
      <c r="AE162" s="22"/>
    </row>
    <row r="163" spans="6:31" x14ac:dyDescent="0.25">
      <c r="F163" s="22"/>
      <c r="K163" s="22"/>
      <c r="P163" s="22"/>
      <c r="U163" s="22"/>
      <c r="Z163" s="22"/>
      <c r="AE163" s="22"/>
    </row>
    <row r="164" spans="6:31" x14ac:dyDescent="0.25">
      <c r="F164" s="22"/>
      <c r="K164" s="22"/>
      <c r="P164" s="22"/>
      <c r="U164" s="22"/>
      <c r="Z164" s="22"/>
      <c r="AE164" s="22"/>
    </row>
    <row r="165" spans="6:31" x14ac:dyDescent="0.25">
      <c r="F165" s="22"/>
      <c r="K165" s="22"/>
      <c r="P165" s="22"/>
      <c r="U165" s="22"/>
      <c r="Z165" s="22"/>
      <c r="AE165" s="22"/>
    </row>
    <row r="166" spans="6:31" x14ac:dyDescent="0.25">
      <c r="F166" s="22"/>
      <c r="K166" s="22"/>
      <c r="P166" s="22"/>
      <c r="U166" s="22"/>
      <c r="Z166" s="22"/>
      <c r="AE166" s="22"/>
    </row>
    <row r="167" spans="6:31" x14ac:dyDescent="0.25">
      <c r="F167" s="22"/>
      <c r="K167" s="22"/>
      <c r="P167" s="22"/>
      <c r="U167" s="22"/>
      <c r="Z167" s="22"/>
      <c r="AE167" s="22"/>
    </row>
    <row r="168" spans="6:31" x14ac:dyDescent="0.25">
      <c r="F168" s="22"/>
      <c r="K168" s="22"/>
      <c r="P168" s="22"/>
      <c r="U168" s="22"/>
      <c r="Z168" s="22"/>
      <c r="AE168" s="22"/>
    </row>
    <row r="169" spans="6:31" x14ac:dyDescent="0.25">
      <c r="F169" s="22"/>
      <c r="K169" s="22"/>
      <c r="P169" s="22"/>
      <c r="U169" s="22"/>
      <c r="Z169" s="22"/>
      <c r="AE169" s="22"/>
    </row>
    <row r="170" spans="6:31" x14ac:dyDescent="0.25">
      <c r="F170" s="22"/>
      <c r="K170" s="22"/>
      <c r="P170" s="22"/>
      <c r="U170" s="22"/>
      <c r="Z170" s="22"/>
      <c r="AE170" s="22"/>
    </row>
    <row r="171" spans="6:31" x14ac:dyDescent="0.25">
      <c r="F171" s="22"/>
      <c r="K171" s="22"/>
      <c r="P171" s="22"/>
      <c r="U171" s="22"/>
      <c r="Z171" s="22"/>
      <c r="AE171" s="22"/>
    </row>
    <row r="172" spans="6:31" x14ac:dyDescent="0.25">
      <c r="F172" s="22"/>
      <c r="K172" s="22"/>
      <c r="P172" s="22"/>
      <c r="U172" s="22"/>
      <c r="Z172" s="22"/>
      <c r="AE172" s="22"/>
    </row>
    <row r="173" spans="6:31" x14ac:dyDescent="0.25">
      <c r="F173" s="22"/>
      <c r="K173" s="22"/>
      <c r="P173" s="22"/>
      <c r="U173" s="22"/>
      <c r="Z173" s="22"/>
      <c r="AE173" s="22"/>
    </row>
    <row r="174" spans="6:31" x14ac:dyDescent="0.25">
      <c r="F174" s="22"/>
      <c r="K174" s="22"/>
      <c r="P174" s="22"/>
      <c r="U174" s="22"/>
      <c r="Z174" s="22"/>
      <c r="AE174" s="22"/>
    </row>
    <row r="175" spans="6:31" x14ac:dyDescent="0.25">
      <c r="F175" s="22"/>
      <c r="K175" s="22"/>
      <c r="P175" s="22"/>
      <c r="U175" s="22"/>
      <c r="Z175" s="22"/>
      <c r="AE175" s="22"/>
    </row>
    <row r="176" spans="6:31" x14ac:dyDescent="0.25">
      <c r="F176" s="22"/>
      <c r="K176" s="22"/>
      <c r="P176" s="22"/>
      <c r="U176" s="22"/>
      <c r="Z176" s="22"/>
      <c r="AE176" s="22"/>
    </row>
    <row r="177" spans="6:31" x14ac:dyDescent="0.25">
      <c r="F177" s="22"/>
      <c r="K177" s="22"/>
      <c r="P177" s="22"/>
      <c r="U177" s="22"/>
      <c r="Z177" s="22"/>
      <c r="AE177" s="22"/>
    </row>
    <row r="178" spans="6:31" x14ac:dyDescent="0.25">
      <c r="F178" s="22"/>
      <c r="K178" s="22"/>
      <c r="P178" s="22"/>
      <c r="U178" s="22"/>
      <c r="Z178" s="22"/>
      <c r="AE178" s="22"/>
    </row>
    <row r="179" spans="6:31" x14ac:dyDescent="0.25">
      <c r="F179" s="22"/>
      <c r="K179" s="22"/>
      <c r="P179" s="22"/>
      <c r="U179" s="22"/>
      <c r="Z179" s="22"/>
      <c r="AE179" s="22"/>
    </row>
    <row r="180" spans="6:31" x14ac:dyDescent="0.25">
      <c r="F180" s="22"/>
      <c r="K180" s="22"/>
      <c r="P180" s="22"/>
      <c r="U180" s="22"/>
      <c r="Z180" s="22"/>
      <c r="AE180" s="22"/>
    </row>
    <row r="181" spans="6:31" x14ac:dyDescent="0.25">
      <c r="F181" s="22"/>
      <c r="K181" s="22"/>
      <c r="P181" s="22"/>
      <c r="U181" s="22"/>
      <c r="Z181" s="22"/>
      <c r="AE181" s="22"/>
    </row>
    <row r="182" spans="6:31" x14ac:dyDescent="0.25">
      <c r="F182" s="22"/>
      <c r="K182" s="22"/>
      <c r="P182" s="22"/>
      <c r="U182" s="22"/>
      <c r="Z182" s="22"/>
      <c r="AE182" s="22"/>
    </row>
    <row r="183" spans="6:31" x14ac:dyDescent="0.25">
      <c r="F183" s="22"/>
      <c r="K183" s="22"/>
      <c r="P183" s="22"/>
      <c r="U183" s="22"/>
      <c r="Z183" s="22"/>
      <c r="AE183" s="22"/>
    </row>
    <row r="184" spans="6:31" x14ac:dyDescent="0.25">
      <c r="F184" s="22"/>
      <c r="K184" s="22"/>
      <c r="P184" s="22"/>
      <c r="U184" s="22"/>
      <c r="Z184" s="22"/>
      <c r="AE184" s="22"/>
    </row>
    <row r="185" spans="6:31" x14ac:dyDescent="0.25">
      <c r="F185" s="22"/>
      <c r="K185" s="22"/>
      <c r="P185" s="22"/>
      <c r="U185" s="22"/>
      <c r="Z185" s="22"/>
      <c r="AE185" s="22"/>
    </row>
    <row r="186" spans="6:31" x14ac:dyDescent="0.25">
      <c r="F186" s="22"/>
      <c r="K186" s="22"/>
      <c r="P186" s="22"/>
      <c r="U186" s="22"/>
      <c r="Z186" s="22"/>
      <c r="AE186" s="22"/>
    </row>
    <row r="187" spans="6:31" x14ac:dyDescent="0.25">
      <c r="F187" s="22"/>
      <c r="K187" s="22"/>
      <c r="P187" s="22"/>
      <c r="U187" s="22"/>
      <c r="Z187" s="22"/>
      <c r="AE187" s="22"/>
    </row>
    <row r="188" spans="6:31" x14ac:dyDescent="0.25">
      <c r="F188" s="22"/>
      <c r="K188" s="22"/>
      <c r="P188" s="22"/>
      <c r="U188" s="22"/>
      <c r="Z188" s="22"/>
      <c r="AE188" s="22"/>
    </row>
    <row r="189" spans="6:31" x14ac:dyDescent="0.25">
      <c r="F189" s="22"/>
      <c r="K189" s="22"/>
      <c r="P189" s="22"/>
      <c r="U189" s="22"/>
      <c r="Z189" s="22"/>
      <c r="AE189" s="22"/>
    </row>
    <row r="190" spans="6:31" x14ac:dyDescent="0.25">
      <c r="F190" s="22"/>
      <c r="K190" s="22"/>
      <c r="P190" s="22"/>
      <c r="U190" s="22"/>
      <c r="Z190" s="22"/>
      <c r="AE190" s="22"/>
    </row>
    <row r="191" spans="6:31" x14ac:dyDescent="0.25">
      <c r="F191" s="22"/>
      <c r="K191" s="22"/>
      <c r="P191" s="22"/>
      <c r="U191" s="22"/>
      <c r="Z191" s="22"/>
      <c r="AE191" s="22"/>
    </row>
    <row r="192" spans="6:31" x14ac:dyDescent="0.25">
      <c r="F192" s="22"/>
      <c r="K192" s="22"/>
      <c r="P192" s="22"/>
      <c r="U192" s="22"/>
      <c r="Z192" s="22"/>
      <c r="AE192" s="22"/>
    </row>
    <row r="193" spans="6:31" x14ac:dyDescent="0.25">
      <c r="F193" s="22"/>
      <c r="K193" s="22"/>
      <c r="P193" s="22"/>
      <c r="U193" s="22"/>
      <c r="Z193" s="22"/>
      <c r="AE193" s="22"/>
    </row>
    <row r="194" spans="6:31" x14ac:dyDescent="0.25">
      <c r="F194" s="22"/>
      <c r="K194" s="22"/>
      <c r="P194" s="22"/>
      <c r="U194" s="22"/>
      <c r="Z194" s="22"/>
      <c r="AE194" s="22"/>
    </row>
    <row r="195" spans="6:31" x14ac:dyDescent="0.25">
      <c r="F195" s="22"/>
      <c r="K195" s="22"/>
      <c r="P195" s="22"/>
      <c r="U195" s="22"/>
      <c r="Z195" s="22"/>
      <c r="AE195" s="22"/>
    </row>
    <row r="196" spans="6:31" x14ac:dyDescent="0.25">
      <c r="F196" s="22"/>
      <c r="K196" s="22"/>
      <c r="P196" s="22"/>
      <c r="U196" s="22"/>
      <c r="Z196" s="22"/>
      <c r="AE196" s="22"/>
    </row>
    <row r="197" spans="6:31" x14ac:dyDescent="0.25">
      <c r="F197" s="22"/>
      <c r="K197" s="22"/>
      <c r="P197" s="22"/>
      <c r="U197" s="22"/>
      <c r="Z197" s="22"/>
      <c r="AE197" s="22"/>
    </row>
    <row r="198" spans="6:31" x14ac:dyDescent="0.25">
      <c r="F198" s="22"/>
      <c r="K198" s="22"/>
      <c r="P198" s="22"/>
      <c r="U198" s="22"/>
      <c r="Z198" s="22"/>
      <c r="AE198" s="22"/>
    </row>
    <row r="199" spans="6:31" x14ac:dyDescent="0.25">
      <c r="F199" s="22"/>
      <c r="K199" s="22"/>
      <c r="P199" s="22"/>
      <c r="U199" s="22"/>
      <c r="Z199" s="22"/>
      <c r="AE199" s="22"/>
    </row>
    <row r="200" spans="6:31" x14ac:dyDescent="0.25">
      <c r="F200" s="22"/>
      <c r="K200" s="22"/>
      <c r="P200" s="22"/>
      <c r="U200" s="22"/>
      <c r="Z200" s="22"/>
      <c r="AE200" s="22"/>
    </row>
    <row r="201" spans="6:31" x14ac:dyDescent="0.25">
      <c r="F201" s="22"/>
      <c r="K201" s="22"/>
      <c r="P201" s="22"/>
      <c r="U201" s="22"/>
      <c r="Z201" s="22"/>
      <c r="AE201" s="22"/>
    </row>
    <row r="202" spans="6:31" x14ac:dyDescent="0.25">
      <c r="F202" s="22"/>
      <c r="K202" s="22"/>
      <c r="P202" s="22"/>
      <c r="U202" s="22"/>
      <c r="Z202" s="22"/>
      <c r="AE202" s="22"/>
    </row>
    <row r="203" spans="6:31" x14ac:dyDescent="0.25">
      <c r="F203" s="22"/>
      <c r="K203" s="22"/>
      <c r="P203" s="22"/>
      <c r="U203" s="22"/>
      <c r="Z203" s="22"/>
      <c r="AE203" s="22"/>
    </row>
    <row r="204" spans="6:31" x14ac:dyDescent="0.25">
      <c r="F204" s="22"/>
      <c r="K204" s="22"/>
      <c r="P204" s="22"/>
      <c r="U204" s="22"/>
      <c r="Z204" s="22"/>
      <c r="AE204" s="22"/>
    </row>
    <row r="205" spans="6:31" x14ac:dyDescent="0.25">
      <c r="F205" s="22"/>
      <c r="K205" s="22"/>
      <c r="P205" s="22"/>
      <c r="U205" s="22"/>
      <c r="Z205" s="22"/>
      <c r="AE205" s="22"/>
    </row>
    <row r="206" spans="6:31" x14ac:dyDescent="0.25">
      <c r="F206" s="22"/>
      <c r="K206" s="22"/>
      <c r="P206" s="22"/>
      <c r="U206" s="22"/>
      <c r="Z206" s="22"/>
      <c r="AE206" s="22"/>
    </row>
    <row r="207" spans="6:31" x14ac:dyDescent="0.25">
      <c r="F207" s="22"/>
      <c r="K207" s="22"/>
      <c r="P207" s="22"/>
      <c r="U207" s="22"/>
      <c r="Z207" s="22"/>
      <c r="AE207" s="22"/>
    </row>
    <row r="208" spans="6:31" x14ac:dyDescent="0.25">
      <c r="F208" s="22"/>
      <c r="K208" s="22"/>
      <c r="P208" s="22"/>
      <c r="U208" s="22"/>
      <c r="Z208" s="22"/>
      <c r="AE208" s="22"/>
    </row>
    <row r="209" spans="6:31" x14ac:dyDescent="0.25">
      <c r="F209" s="22"/>
      <c r="K209" s="22"/>
      <c r="P209" s="22"/>
      <c r="U209" s="22"/>
      <c r="Z209" s="22"/>
      <c r="AE209" s="22"/>
    </row>
    <row r="210" spans="6:31" x14ac:dyDescent="0.25">
      <c r="F210" s="22"/>
      <c r="K210" s="22"/>
      <c r="P210" s="22"/>
      <c r="U210" s="22"/>
      <c r="Z210" s="22"/>
      <c r="AE210" s="22"/>
    </row>
    <row r="211" spans="6:31" x14ac:dyDescent="0.25">
      <c r="F211" s="22"/>
      <c r="K211" s="22"/>
      <c r="P211" s="22"/>
      <c r="U211" s="22"/>
      <c r="Z211" s="22"/>
      <c r="AE211" s="22"/>
    </row>
    <row r="212" spans="6:31" x14ac:dyDescent="0.25">
      <c r="F212" s="22"/>
      <c r="K212" s="22"/>
      <c r="P212" s="22"/>
      <c r="U212" s="22"/>
      <c r="Z212" s="22"/>
      <c r="AE212" s="22"/>
    </row>
    <row r="213" spans="6:31" x14ac:dyDescent="0.25">
      <c r="F213" s="22"/>
      <c r="K213" s="22"/>
      <c r="P213" s="22"/>
      <c r="U213" s="22"/>
      <c r="Z213" s="22"/>
      <c r="AE213" s="22"/>
    </row>
    <row r="214" spans="6:31" x14ac:dyDescent="0.25">
      <c r="F214" s="22"/>
      <c r="K214" s="22"/>
      <c r="P214" s="22"/>
      <c r="U214" s="22"/>
      <c r="Z214" s="22"/>
      <c r="AE214" s="22"/>
    </row>
    <row r="215" spans="6:31" x14ac:dyDescent="0.25">
      <c r="F215" s="22"/>
      <c r="K215" s="22"/>
      <c r="P215" s="22"/>
      <c r="U215" s="22"/>
      <c r="Z215" s="22"/>
      <c r="AE215" s="22"/>
    </row>
    <row r="216" spans="6:31" x14ac:dyDescent="0.25">
      <c r="F216" s="22"/>
      <c r="K216" s="22"/>
      <c r="P216" s="22"/>
      <c r="U216" s="22"/>
      <c r="Z216" s="22"/>
      <c r="AE216" s="22"/>
    </row>
    <row r="217" spans="6:31" x14ac:dyDescent="0.25">
      <c r="F217" s="22"/>
      <c r="K217" s="22"/>
      <c r="P217" s="22"/>
      <c r="U217" s="22"/>
      <c r="Z217" s="22"/>
      <c r="AE217" s="22"/>
    </row>
    <row r="218" spans="6:31" x14ac:dyDescent="0.25">
      <c r="F218" s="22"/>
      <c r="K218" s="22"/>
      <c r="P218" s="22"/>
      <c r="U218" s="22"/>
      <c r="Z218" s="22"/>
      <c r="AE218" s="22"/>
    </row>
    <row r="219" spans="6:31" x14ac:dyDescent="0.25">
      <c r="F219" s="22"/>
      <c r="K219" s="22"/>
      <c r="P219" s="22"/>
      <c r="U219" s="22"/>
      <c r="Z219" s="22"/>
      <c r="AE219" s="22"/>
    </row>
    <row r="220" spans="6:31" x14ac:dyDescent="0.25">
      <c r="F220" s="22"/>
      <c r="K220" s="22"/>
      <c r="P220" s="22"/>
      <c r="U220" s="22"/>
      <c r="Z220" s="22"/>
      <c r="AE220" s="22"/>
    </row>
    <row r="221" spans="6:31" x14ac:dyDescent="0.25">
      <c r="F221" s="22"/>
      <c r="K221" s="22"/>
      <c r="P221" s="22"/>
      <c r="U221" s="22"/>
      <c r="Z221" s="22"/>
      <c r="AE221" s="22"/>
    </row>
    <row r="222" spans="6:31" x14ac:dyDescent="0.25">
      <c r="F222" s="22"/>
      <c r="K222" s="22"/>
      <c r="P222" s="22"/>
      <c r="U222" s="22"/>
      <c r="Z222" s="22"/>
      <c r="AE222" s="22"/>
    </row>
    <row r="223" spans="6:31" x14ac:dyDescent="0.25">
      <c r="F223" s="22"/>
      <c r="K223" s="22"/>
      <c r="P223" s="22"/>
      <c r="U223" s="22"/>
      <c r="Z223" s="22"/>
      <c r="AE223" s="22"/>
    </row>
    <row r="224" spans="6:31" x14ac:dyDescent="0.25">
      <c r="F224" s="22"/>
      <c r="K224" s="22"/>
      <c r="P224" s="22"/>
      <c r="U224" s="22"/>
      <c r="Z224" s="22"/>
      <c r="AE224" s="22"/>
    </row>
    <row r="225" spans="6:31" x14ac:dyDescent="0.25">
      <c r="F225" s="22"/>
      <c r="K225" s="22"/>
      <c r="P225" s="22"/>
      <c r="U225" s="22"/>
      <c r="Z225" s="22"/>
      <c r="AE225" s="22"/>
    </row>
    <row r="226" spans="6:31" x14ac:dyDescent="0.25">
      <c r="F226" s="22"/>
      <c r="K226" s="22"/>
      <c r="P226" s="22"/>
      <c r="U226" s="22"/>
      <c r="Z226" s="22"/>
      <c r="AE226" s="22"/>
    </row>
    <row r="227" spans="6:31" x14ac:dyDescent="0.25">
      <c r="F227" s="22"/>
      <c r="K227" s="22"/>
      <c r="P227" s="22"/>
      <c r="U227" s="22"/>
      <c r="Z227" s="22"/>
      <c r="AE227" s="22"/>
    </row>
    <row r="228" spans="6:31" x14ac:dyDescent="0.25">
      <c r="F228" s="22"/>
      <c r="K228" s="22"/>
      <c r="P228" s="22"/>
      <c r="U228" s="22"/>
      <c r="Z228" s="22"/>
      <c r="AE228" s="22"/>
    </row>
    <row r="229" spans="6:31" x14ac:dyDescent="0.25">
      <c r="F229" s="22"/>
      <c r="K229" s="22"/>
      <c r="P229" s="22"/>
      <c r="U229" s="22"/>
      <c r="Z229" s="22"/>
      <c r="AE229" s="22"/>
    </row>
    <row r="230" spans="6:31" x14ac:dyDescent="0.25">
      <c r="F230" s="22"/>
      <c r="K230" s="22"/>
      <c r="P230" s="22"/>
      <c r="U230" s="22"/>
      <c r="Z230" s="22"/>
      <c r="AE230" s="22"/>
    </row>
    <row r="231" spans="6:31" x14ac:dyDescent="0.25">
      <c r="F231" s="22"/>
      <c r="K231" s="22"/>
      <c r="P231" s="22"/>
      <c r="U231" s="22"/>
      <c r="Z231" s="22"/>
      <c r="AE231" s="22"/>
    </row>
    <row r="232" spans="6:31" x14ac:dyDescent="0.25">
      <c r="F232" s="22"/>
      <c r="K232" s="22"/>
      <c r="P232" s="22"/>
      <c r="U232" s="22"/>
      <c r="Z232" s="22"/>
      <c r="AE232" s="22"/>
    </row>
    <row r="233" spans="6:31" x14ac:dyDescent="0.25">
      <c r="F233" s="22"/>
      <c r="K233" s="22"/>
      <c r="P233" s="22"/>
      <c r="U233" s="22"/>
      <c r="Z233" s="22"/>
      <c r="AE233" s="22"/>
    </row>
    <row r="234" spans="6:31" x14ac:dyDescent="0.25">
      <c r="F234" s="22"/>
      <c r="K234" s="22"/>
      <c r="P234" s="22"/>
      <c r="U234" s="22"/>
      <c r="Z234" s="22"/>
      <c r="AE234" s="22"/>
    </row>
    <row r="235" spans="6:31" x14ac:dyDescent="0.25">
      <c r="F235" s="22"/>
      <c r="K235" s="22"/>
      <c r="P235" s="22"/>
      <c r="U235" s="22"/>
      <c r="Z235" s="22"/>
      <c r="AE235" s="22"/>
    </row>
    <row r="236" spans="6:31" x14ac:dyDescent="0.25">
      <c r="F236" s="22"/>
      <c r="K236" s="22"/>
      <c r="P236" s="22"/>
      <c r="U236" s="22"/>
      <c r="Z236" s="22"/>
      <c r="AE236" s="22"/>
    </row>
    <row r="237" spans="6:31" x14ac:dyDescent="0.25">
      <c r="F237" s="22"/>
      <c r="K237" s="22"/>
      <c r="P237" s="22"/>
      <c r="U237" s="22"/>
      <c r="Z237" s="22"/>
      <c r="AE237" s="22"/>
    </row>
    <row r="238" spans="6:31" x14ac:dyDescent="0.25">
      <c r="F238" s="22"/>
      <c r="K238" s="22"/>
      <c r="P238" s="22"/>
      <c r="U238" s="22"/>
      <c r="Z238" s="22"/>
      <c r="AE238" s="22"/>
    </row>
    <row r="239" spans="6:31" x14ac:dyDescent="0.25">
      <c r="F239" s="22"/>
      <c r="K239" s="22"/>
      <c r="P239" s="22"/>
      <c r="U239" s="22"/>
      <c r="Z239" s="22"/>
      <c r="AE239" s="22"/>
    </row>
    <row r="240" spans="6:31" x14ac:dyDescent="0.25">
      <c r="F240" s="22"/>
      <c r="K240" s="22"/>
      <c r="P240" s="22"/>
      <c r="U240" s="22"/>
      <c r="Z240" s="22"/>
      <c r="AE240" s="22"/>
    </row>
    <row r="241" spans="6:31" x14ac:dyDescent="0.25">
      <c r="F241" s="22"/>
      <c r="K241" s="22"/>
      <c r="P241" s="22"/>
      <c r="U241" s="22"/>
      <c r="Z241" s="22"/>
      <c r="AE241" s="22"/>
    </row>
    <row r="242" spans="6:31" x14ac:dyDescent="0.25">
      <c r="F242" s="22"/>
      <c r="K242" s="22"/>
      <c r="P242" s="22"/>
      <c r="U242" s="22"/>
      <c r="Z242" s="22"/>
      <c r="AE242" s="22"/>
    </row>
    <row r="243" spans="6:31" x14ac:dyDescent="0.25">
      <c r="F243" s="22"/>
      <c r="K243" s="22"/>
      <c r="P243" s="22"/>
      <c r="U243" s="22"/>
      <c r="Z243" s="22"/>
      <c r="AE243" s="22"/>
    </row>
    <row r="244" spans="6:31" x14ac:dyDescent="0.25">
      <c r="F244" s="22"/>
      <c r="K244" s="22"/>
      <c r="P244" s="22"/>
      <c r="U244" s="22"/>
      <c r="Z244" s="22"/>
      <c r="AE244" s="22"/>
    </row>
    <row r="245" spans="6:31" x14ac:dyDescent="0.25">
      <c r="F245" s="22"/>
      <c r="K245" s="22"/>
      <c r="P245" s="22"/>
      <c r="U245" s="22"/>
      <c r="Z245" s="22"/>
      <c r="AE245" s="22"/>
    </row>
    <row r="246" spans="6:31" x14ac:dyDescent="0.25">
      <c r="F246" s="22"/>
      <c r="K246" s="22"/>
      <c r="P246" s="22"/>
      <c r="U246" s="22"/>
      <c r="Z246" s="22"/>
      <c r="AE246" s="22"/>
    </row>
    <row r="247" spans="6:31" x14ac:dyDescent="0.25">
      <c r="F247" s="22"/>
      <c r="K247" s="22"/>
      <c r="P247" s="22"/>
      <c r="U247" s="22"/>
      <c r="Z247" s="22"/>
      <c r="AE247" s="22"/>
    </row>
    <row r="248" spans="6:31" x14ac:dyDescent="0.25">
      <c r="F248" s="22"/>
      <c r="K248" s="22"/>
      <c r="P248" s="22"/>
      <c r="U248" s="22"/>
      <c r="Z248" s="22"/>
      <c r="AE248" s="22"/>
    </row>
    <row r="249" spans="6:31" x14ac:dyDescent="0.25">
      <c r="F249" s="22"/>
      <c r="K249" s="22"/>
      <c r="P249" s="22"/>
      <c r="U249" s="22"/>
      <c r="Z249" s="22"/>
      <c r="AE249" s="22"/>
    </row>
    <row r="250" spans="6:31" x14ac:dyDescent="0.25">
      <c r="F250" s="22"/>
      <c r="K250" s="22"/>
      <c r="P250" s="22"/>
      <c r="U250" s="22"/>
      <c r="Z250" s="22"/>
      <c r="AE250" s="22"/>
    </row>
    <row r="251" spans="6:31" x14ac:dyDescent="0.25">
      <c r="F251" s="22"/>
      <c r="K251" s="22"/>
      <c r="P251" s="22"/>
      <c r="U251" s="22"/>
      <c r="Z251" s="22"/>
      <c r="AE251" s="22"/>
    </row>
    <row r="252" spans="6:31" x14ac:dyDescent="0.25">
      <c r="F252" s="22"/>
      <c r="K252" s="22"/>
      <c r="P252" s="22"/>
      <c r="U252" s="22"/>
      <c r="Z252" s="22"/>
      <c r="AE252" s="22"/>
    </row>
    <row r="253" spans="6:31" x14ac:dyDescent="0.25">
      <c r="F253" s="22"/>
      <c r="K253" s="22"/>
      <c r="P253" s="22"/>
      <c r="U253" s="22"/>
      <c r="Z253" s="22"/>
      <c r="AE253" s="22"/>
    </row>
    <row r="254" spans="6:31" x14ac:dyDescent="0.25">
      <c r="F254" s="22"/>
      <c r="K254" s="22"/>
      <c r="P254" s="22"/>
      <c r="U254" s="22"/>
      <c r="Z254" s="22"/>
      <c r="AE254" s="22"/>
    </row>
    <row r="255" spans="6:31" x14ac:dyDescent="0.25">
      <c r="F255" s="22"/>
      <c r="K255" s="22"/>
      <c r="P255" s="22"/>
      <c r="U255" s="22"/>
      <c r="Z255" s="22"/>
      <c r="AE255" s="22"/>
    </row>
    <row r="256" spans="6:31" x14ac:dyDescent="0.25">
      <c r="F256" s="22"/>
      <c r="K256" s="22"/>
      <c r="P256" s="22"/>
      <c r="U256" s="22"/>
      <c r="Z256" s="22"/>
      <c r="AE256" s="22"/>
    </row>
    <row r="257" spans="6:31" x14ac:dyDescent="0.25">
      <c r="F257" s="22"/>
      <c r="K257" s="22"/>
      <c r="P257" s="22"/>
      <c r="U257" s="22"/>
      <c r="Z257" s="22"/>
      <c r="AE257" s="22"/>
    </row>
    <row r="258" spans="6:31" x14ac:dyDescent="0.25">
      <c r="F258" s="22"/>
      <c r="K258" s="22"/>
      <c r="P258" s="22"/>
      <c r="U258" s="22"/>
      <c r="Z258" s="22"/>
      <c r="AE258" s="22"/>
    </row>
    <row r="259" spans="6:31" x14ac:dyDescent="0.25">
      <c r="F259" s="22"/>
      <c r="K259" s="22"/>
      <c r="P259" s="22"/>
      <c r="U259" s="22"/>
      <c r="Z259" s="22"/>
      <c r="AE259" s="22"/>
    </row>
    <row r="260" spans="6:31" x14ac:dyDescent="0.25">
      <c r="F260" s="22"/>
      <c r="K260" s="22"/>
      <c r="P260" s="22"/>
      <c r="U260" s="22"/>
      <c r="Z260" s="22"/>
      <c r="AE260" s="22"/>
    </row>
    <row r="261" spans="6:31" x14ac:dyDescent="0.25">
      <c r="F261" s="22"/>
      <c r="K261" s="22"/>
      <c r="P261" s="22"/>
      <c r="U261" s="22"/>
      <c r="Z261" s="22"/>
      <c r="AE261" s="22"/>
    </row>
    <row r="262" spans="6:31" x14ac:dyDescent="0.25">
      <c r="F262" s="22"/>
      <c r="K262" s="22"/>
      <c r="P262" s="22"/>
      <c r="U262" s="22"/>
      <c r="Z262" s="22"/>
      <c r="AE262" s="22"/>
    </row>
    <row r="263" spans="6:31" x14ac:dyDescent="0.25">
      <c r="F263" s="22"/>
      <c r="K263" s="22"/>
      <c r="P263" s="22"/>
      <c r="U263" s="22"/>
      <c r="Z263" s="22"/>
      <c r="AE263" s="22"/>
    </row>
    <row r="264" spans="6:31" x14ac:dyDescent="0.25">
      <c r="F264" s="22"/>
      <c r="K264" s="22"/>
      <c r="P264" s="22"/>
      <c r="U264" s="22"/>
      <c r="Z264" s="22"/>
      <c r="AE264" s="22"/>
    </row>
    <row r="265" spans="6:31" x14ac:dyDescent="0.25">
      <c r="F265" s="22"/>
      <c r="K265" s="22"/>
      <c r="P265" s="22"/>
      <c r="U265" s="22"/>
      <c r="Z265" s="22"/>
      <c r="AE265" s="22"/>
    </row>
    <row r="266" spans="6:31" x14ac:dyDescent="0.25">
      <c r="F266" s="22"/>
      <c r="K266" s="22"/>
      <c r="P266" s="22"/>
      <c r="U266" s="22"/>
      <c r="Z266" s="22"/>
      <c r="AE266" s="22"/>
    </row>
    <row r="267" spans="6:31" x14ac:dyDescent="0.25">
      <c r="F267" s="22"/>
      <c r="K267" s="22"/>
      <c r="P267" s="22"/>
      <c r="U267" s="22"/>
      <c r="Z267" s="22"/>
      <c r="AE267" s="22"/>
    </row>
    <row r="268" spans="6:31" x14ac:dyDescent="0.25">
      <c r="F268" s="22"/>
      <c r="K268" s="22"/>
      <c r="P268" s="22"/>
      <c r="U268" s="22"/>
      <c r="Z268" s="22"/>
      <c r="AE268" s="22"/>
    </row>
    <row r="269" spans="6:31" x14ac:dyDescent="0.25">
      <c r="F269" s="22"/>
      <c r="K269" s="22"/>
      <c r="P269" s="22"/>
      <c r="U269" s="22"/>
      <c r="Z269" s="22"/>
      <c r="AE269" s="22"/>
    </row>
    <row r="270" spans="6:31" x14ac:dyDescent="0.25">
      <c r="F270" s="22"/>
      <c r="K270" s="22"/>
      <c r="P270" s="22"/>
      <c r="U270" s="22"/>
      <c r="Z270" s="22"/>
      <c r="AE270" s="22"/>
    </row>
    <row r="271" spans="6:31" x14ac:dyDescent="0.25">
      <c r="F271" s="22"/>
      <c r="K271" s="22"/>
      <c r="P271" s="22"/>
      <c r="U271" s="22"/>
      <c r="Z271" s="22"/>
      <c r="AE271" s="22"/>
    </row>
    <row r="272" spans="6:31" x14ac:dyDescent="0.25">
      <c r="F272" s="22"/>
      <c r="K272" s="22"/>
      <c r="P272" s="22"/>
      <c r="U272" s="22"/>
      <c r="Z272" s="22"/>
      <c r="AE272" s="22"/>
    </row>
    <row r="273" spans="6:31" x14ac:dyDescent="0.25">
      <c r="F273" s="22"/>
      <c r="K273" s="22"/>
      <c r="P273" s="22"/>
      <c r="U273" s="22"/>
      <c r="Z273" s="22"/>
      <c r="AE273" s="22"/>
    </row>
    <row r="274" spans="6:31" x14ac:dyDescent="0.25">
      <c r="F274" s="22"/>
      <c r="K274" s="22"/>
      <c r="P274" s="22"/>
      <c r="U274" s="22"/>
      <c r="Z274" s="22"/>
      <c r="AE274" s="22"/>
    </row>
    <row r="275" spans="6:31" x14ac:dyDescent="0.25">
      <c r="F275" s="22"/>
      <c r="K275" s="22"/>
      <c r="P275" s="22"/>
      <c r="U275" s="22"/>
      <c r="Z275" s="22"/>
      <c r="AE275" s="22"/>
    </row>
    <row r="276" spans="6:31" x14ac:dyDescent="0.25">
      <c r="F276" s="22"/>
      <c r="K276" s="22"/>
      <c r="P276" s="22"/>
      <c r="U276" s="22"/>
      <c r="Z276" s="22"/>
      <c r="AE276" s="22"/>
    </row>
    <row r="277" spans="6:31" x14ac:dyDescent="0.25">
      <c r="F277" s="22"/>
      <c r="K277" s="22"/>
      <c r="P277" s="22"/>
      <c r="U277" s="22"/>
      <c r="Z277" s="22"/>
      <c r="AE277" s="22"/>
    </row>
    <row r="278" spans="6:31" x14ac:dyDescent="0.25">
      <c r="F278" s="22"/>
      <c r="K278" s="22"/>
      <c r="P278" s="22"/>
      <c r="U278" s="22"/>
      <c r="Z278" s="22"/>
      <c r="AE278" s="22"/>
    </row>
    <row r="279" spans="6:31" x14ac:dyDescent="0.25">
      <c r="F279" s="22"/>
      <c r="K279" s="22"/>
      <c r="P279" s="22"/>
      <c r="U279" s="22"/>
      <c r="Z279" s="22"/>
      <c r="AE279" s="22"/>
    </row>
    <row r="280" spans="6:31" x14ac:dyDescent="0.25">
      <c r="F280" s="22"/>
      <c r="K280" s="22"/>
      <c r="P280" s="22"/>
      <c r="U280" s="22"/>
      <c r="Z280" s="22"/>
      <c r="AE280" s="22"/>
    </row>
    <row r="281" spans="6:31" x14ac:dyDescent="0.25">
      <c r="F281" s="22"/>
      <c r="K281" s="22"/>
      <c r="P281" s="22"/>
      <c r="U281" s="22"/>
      <c r="Z281" s="22"/>
      <c r="AE281" s="22"/>
    </row>
    <row r="282" spans="6:31" x14ac:dyDescent="0.25">
      <c r="F282" s="22"/>
      <c r="K282" s="22"/>
      <c r="P282" s="22"/>
      <c r="U282" s="22"/>
      <c r="Z282" s="22"/>
      <c r="AE282" s="22"/>
    </row>
    <row r="283" spans="6:31" x14ac:dyDescent="0.25">
      <c r="F283" s="22"/>
      <c r="K283" s="22"/>
      <c r="P283" s="22"/>
      <c r="U283" s="22"/>
      <c r="Z283" s="22"/>
      <c r="AE283" s="22"/>
    </row>
    <row r="284" spans="6:31" x14ac:dyDescent="0.25">
      <c r="F284" s="22"/>
      <c r="K284" s="22"/>
      <c r="P284" s="22"/>
      <c r="U284" s="22"/>
      <c r="Z284" s="22"/>
      <c r="AE284" s="22"/>
    </row>
    <row r="285" spans="6:31" x14ac:dyDescent="0.25">
      <c r="F285" s="22"/>
      <c r="K285" s="22"/>
      <c r="P285" s="22"/>
      <c r="U285" s="22"/>
      <c r="Z285" s="22"/>
      <c r="AE285" s="22"/>
    </row>
    <row r="286" spans="6:31" x14ac:dyDescent="0.25">
      <c r="F286" s="22"/>
      <c r="K286" s="22"/>
      <c r="P286" s="22"/>
      <c r="U286" s="22"/>
      <c r="Z286" s="22"/>
      <c r="AE286" s="22"/>
    </row>
    <row r="287" spans="6:31" x14ac:dyDescent="0.25">
      <c r="F287" s="22"/>
      <c r="K287" s="22"/>
      <c r="P287" s="22"/>
      <c r="U287" s="22"/>
      <c r="Z287" s="22"/>
      <c r="AE287" s="22"/>
    </row>
    <row r="288" spans="6:31" x14ac:dyDescent="0.25">
      <c r="F288" s="22"/>
      <c r="K288" s="22"/>
      <c r="P288" s="22"/>
      <c r="U288" s="22"/>
      <c r="Z288" s="22"/>
      <c r="AE288" s="22"/>
    </row>
    <row r="289" spans="6:31" x14ac:dyDescent="0.25">
      <c r="F289" s="22"/>
      <c r="K289" s="22"/>
      <c r="P289" s="22"/>
      <c r="U289" s="22"/>
      <c r="Z289" s="22"/>
      <c r="AE289" s="22"/>
    </row>
    <row r="290" spans="6:31" x14ac:dyDescent="0.25">
      <c r="F290" s="22"/>
      <c r="K290" s="22"/>
      <c r="P290" s="22"/>
      <c r="U290" s="22"/>
      <c r="Z290" s="22"/>
      <c r="AE290" s="22"/>
    </row>
    <row r="291" spans="6:31" x14ac:dyDescent="0.25">
      <c r="F291" s="22"/>
      <c r="K291" s="22"/>
      <c r="P291" s="22"/>
      <c r="U291" s="22"/>
      <c r="Z291" s="22"/>
      <c r="AE291" s="22"/>
    </row>
    <row r="292" spans="6:31" x14ac:dyDescent="0.25">
      <c r="F292" s="22"/>
      <c r="K292" s="22"/>
      <c r="P292" s="22"/>
      <c r="U292" s="22"/>
      <c r="Z292" s="22"/>
      <c r="AE292" s="22"/>
    </row>
    <row r="293" spans="6:31" x14ac:dyDescent="0.25">
      <c r="F293" s="22"/>
      <c r="K293" s="22"/>
      <c r="P293" s="22"/>
      <c r="U293" s="22"/>
      <c r="Z293" s="22"/>
      <c r="AE293" s="22"/>
    </row>
    <row r="294" spans="6:31" x14ac:dyDescent="0.25">
      <c r="F294" s="22"/>
      <c r="K294" s="22"/>
      <c r="P294" s="22"/>
      <c r="U294" s="22"/>
      <c r="Z294" s="22"/>
      <c r="AE294" s="22"/>
    </row>
    <row r="295" spans="6:31" x14ac:dyDescent="0.25">
      <c r="F295" s="22"/>
      <c r="K295" s="22"/>
      <c r="P295" s="22"/>
      <c r="U295" s="22"/>
      <c r="Z295" s="22"/>
      <c r="AE295" s="22"/>
    </row>
    <row r="296" spans="6:31" x14ac:dyDescent="0.25">
      <c r="F296" s="22"/>
      <c r="K296" s="22"/>
      <c r="P296" s="22"/>
      <c r="U296" s="22"/>
      <c r="Z296" s="22"/>
      <c r="AE296" s="22"/>
    </row>
    <row r="297" spans="6:31" x14ac:dyDescent="0.25">
      <c r="F297" s="22"/>
      <c r="K297" s="22"/>
      <c r="P297" s="22"/>
      <c r="U297" s="22"/>
      <c r="Z297" s="22"/>
      <c r="AE297" s="22"/>
    </row>
    <row r="298" spans="6:31" x14ac:dyDescent="0.25">
      <c r="F298" s="22"/>
      <c r="K298" s="22"/>
      <c r="P298" s="22"/>
      <c r="U298" s="22"/>
      <c r="Z298" s="22"/>
      <c r="AE298" s="22"/>
    </row>
    <row r="299" spans="6:31" x14ac:dyDescent="0.25">
      <c r="F299" s="22"/>
      <c r="K299" s="22"/>
      <c r="P299" s="22"/>
      <c r="U299" s="22"/>
      <c r="Z299" s="22"/>
      <c r="AE299" s="22"/>
    </row>
    <row r="300" spans="6:31" x14ac:dyDescent="0.25">
      <c r="F300" s="22"/>
      <c r="K300" s="22"/>
      <c r="P300" s="22"/>
      <c r="U300" s="22"/>
      <c r="Z300" s="22"/>
      <c r="AE300" s="22"/>
    </row>
    <row r="301" spans="6:31" x14ac:dyDescent="0.25">
      <c r="F301" s="22"/>
      <c r="K301" s="22"/>
      <c r="P301" s="22"/>
      <c r="U301" s="22"/>
      <c r="Z301" s="22"/>
      <c r="AE301" s="22"/>
    </row>
    <row r="302" spans="6:31" x14ac:dyDescent="0.25">
      <c r="F302" s="22"/>
      <c r="K302" s="22"/>
      <c r="P302" s="22"/>
      <c r="U302" s="22"/>
      <c r="Z302" s="22"/>
      <c r="AE302" s="22"/>
    </row>
    <row r="303" spans="6:31" x14ac:dyDescent="0.25">
      <c r="F303" s="22"/>
      <c r="K303" s="22"/>
      <c r="P303" s="22"/>
      <c r="U303" s="22"/>
      <c r="Z303" s="22"/>
      <c r="AE303" s="22"/>
    </row>
    <row r="304" spans="6:31" x14ac:dyDescent="0.25">
      <c r="F304" s="22"/>
      <c r="K304" s="22"/>
      <c r="P304" s="22"/>
      <c r="U304" s="22"/>
      <c r="Z304" s="22"/>
      <c r="AE304" s="22"/>
    </row>
    <row r="305" spans="6:31" x14ac:dyDescent="0.25">
      <c r="F305" s="22"/>
      <c r="K305" s="22"/>
      <c r="P305" s="22"/>
      <c r="U305" s="22"/>
      <c r="Z305" s="22"/>
      <c r="AE305" s="22"/>
    </row>
    <row r="306" spans="6:31" x14ac:dyDescent="0.25">
      <c r="F306" s="22"/>
      <c r="K306" s="22"/>
      <c r="P306" s="22"/>
      <c r="U306" s="22"/>
      <c r="Z306" s="22"/>
      <c r="AE306" s="22"/>
    </row>
    <row r="307" spans="6:31" x14ac:dyDescent="0.25">
      <c r="F307" s="22"/>
      <c r="K307" s="22"/>
      <c r="P307" s="22"/>
      <c r="U307" s="22"/>
      <c r="Z307" s="22"/>
      <c r="AE307" s="22"/>
    </row>
    <row r="308" spans="6:31" x14ac:dyDescent="0.25">
      <c r="F308" s="22"/>
      <c r="K308" s="22"/>
      <c r="P308" s="22"/>
      <c r="U308" s="22"/>
      <c r="Z308" s="22"/>
      <c r="AE308" s="22"/>
    </row>
    <row r="309" spans="6:31" x14ac:dyDescent="0.25">
      <c r="F309" s="22"/>
      <c r="K309" s="22"/>
      <c r="P309" s="22"/>
      <c r="U309" s="22"/>
      <c r="Z309" s="22"/>
      <c r="AE309" s="22"/>
    </row>
    <row r="310" spans="6:31" x14ac:dyDescent="0.25">
      <c r="F310" s="22"/>
      <c r="K310" s="22"/>
      <c r="P310" s="22"/>
      <c r="U310" s="22"/>
      <c r="Z310" s="22"/>
      <c r="AE310" s="22"/>
    </row>
    <row r="311" spans="6:31" x14ac:dyDescent="0.25">
      <c r="F311" s="22"/>
      <c r="K311" s="22"/>
      <c r="P311" s="22"/>
      <c r="U311" s="22"/>
      <c r="Z311" s="22"/>
      <c r="AE311" s="22"/>
    </row>
    <row r="312" spans="6:31" x14ac:dyDescent="0.25">
      <c r="F312" s="22"/>
      <c r="K312" s="22"/>
      <c r="P312" s="22"/>
      <c r="U312" s="22"/>
      <c r="Z312" s="22"/>
      <c r="AE312" s="22"/>
    </row>
    <row r="313" spans="6:31" x14ac:dyDescent="0.25">
      <c r="F313" s="22"/>
      <c r="K313" s="22"/>
      <c r="P313" s="22"/>
      <c r="U313" s="22"/>
      <c r="Z313" s="22"/>
      <c r="AE313" s="22"/>
    </row>
    <row r="314" spans="6:31" x14ac:dyDescent="0.25">
      <c r="F314" s="22"/>
      <c r="K314" s="22"/>
      <c r="P314" s="22"/>
      <c r="U314" s="22"/>
      <c r="Z314" s="22"/>
      <c r="AE314" s="22"/>
    </row>
    <row r="315" spans="6:31" x14ac:dyDescent="0.25">
      <c r="F315" s="22"/>
      <c r="K315" s="22"/>
      <c r="P315" s="22"/>
      <c r="U315" s="22"/>
      <c r="Z315" s="22"/>
      <c r="AE315" s="22"/>
    </row>
    <row r="316" spans="6:31" x14ac:dyDescent="0.25">
      <c r="F316" s="22"/>
      <c r="K316" s="22"/>
      <c r="P316" s="22"/>
      <c r="U316" s="22"/>
      <c r="Z316" s="22"/>
      <c r="AE316" s="22"/>
    </row>
    <row r="317" spans="6:31" x14ac:dyDescent="0.25">
      <c r="F317" s="22"/>
      <c r="K317" s="22"/>
      <c r="P317" s="22"/>
      <c r="U317" s="22"/>
      <c r="Z317" s="22"/>
      <c r="AE317" s="22"/>
    </row>
    <row r="318" spans="6:31" x14ac:dyDescent="0.25">
      <c r="F318" s="22"/>
      <c r="K318" s="22"/>
      <c r="P318" s="22"/>
      <c r="U318" s="22"/>
      <c r="Z318" s="22"/>
      <c r="AE318" s="22"/>
    </row>
    <row r="319" spans="6:31" x14ac:dyDescent="0.25">
      <c r="F319" s="22"/>
      <c r="K319" s="22"/>
      <c r="P319" s="22"/>
      <c r="U319" s="22"/>
      <c r="Z319" s="22"/>
      <c r="AE319" s="22"/>
    </row>
    <row r="320" spans="6:31" x14ac:dyDescent="0.25">
      <c r="F320" s="22"/>
      <c r="K320" s="22"/>
      <c r="P320" s="22"/>
      <c r="U320" s="22"/>
      <c r="Z320" s="22"/>
      <c r="AE320" s="22"/>
    </row>
    <row r="321" spans="6:31" x14ac:dyDescent="0.25">
      <c r="F321" s="22"/>
      <c r="K321" s="22"/>
      <c r="P321" s="22"/>
      <c r="U321" s="22"/>
      <c r="Z321" s="22"/>
      <c r="AE321" s="22"/>
    </row>
    <row r="322" spans="6:31" x14ac:dyDescent="0.25">
      <c r="F322" s="22"/>
      <c r="K322" s="22"/>
      <c r="P322" s="22"/>
      <c r="U322" s="22"/>
      <c r="Z322" s="22"/>
      <c r="AE322" s="22"/>
    </row>
    <row r="323" spans="6:31" x14ac:dyDescent="0.25">
      <c r="F323" s="22"/>
      <c r="K323" s="22"/>
      <c r="P323" s="22"/>
      <c r="U323" s="22"/>
      <c r="Z323" s="22"/>
      <c r="AE323" s="22"/>
    </row>
    <row r="324" spans="6:31" x14ac:dyDescent="0.25">
      <c r="F324" s="22"/>
      <c r="K324" s="22"/>
      <c r="P324" s="22"/>
      <c r="U324" s="22"/>
      <c r="Z324" s="22"/>
      <c r="AE324" s="22"/>
    </row>
    <row r="325" spans="6:31" x14ac:dyDescent="0.25">
      <c r="F325" s="22"/>
      <c r="K325" s="22"/>
      <c r="P325" s="22"/>
      <c r="U325" s="22"/>
      <c r="Z325" s="22"/>
      <c r="AE325" s="22"/>
    </row>
    <row r="326" spans="6:31" x14ac:dyDescent="0.25">
      <c r="F326" s="22"/>
      <c r="K326" s="22"/>
      <c r="P326" s="22"/>
      <c r="U326" s="22"/>
      <c r="Z326" s="22"/>
      <c r="AE326" s="22"/>
    </row>
    <row r="327" spans="6:31" x14ac:dyDescent="0.25">
      <c r="F327" s="22"/>
      <c r="K327" s="22"/>
      <c r="P327" s="22"/>
      <c r="U327" s="22"/>
      <c r="Z327" s="22"/>
      <c r="AE327" s="22"/>
    </row>
    <row r="328" spans="6:31" x14ac:dyDescent="0.25">
      <c r="F328" s="22"/>
      <c r="K328" s="22"/>
      <c r="P328" s="22"/>
      <c r="U328" s="22"/>
      <c r="Z328" s="22"/>
      <c r="AE328" s="22"/>
    </row>
    <row r="329" spans="6:31" x14ac:dyDescent="0.25">
      <c r="F329" s="22"/>
      <c r="K329" s="22"/>
      <c r="P329" s="22"/>
      <c r="U329" s="22"/>
      <c r="Z329" s="22"/>
      <c r="AE329" s="22"/>
    </row>
    <row r="330" spans="6:31" x14ac:dyDescent="0.25">
      <c r="F330" s="22"/>
      <c r="K330" s="22"/>
      <c r="P330" s="22"/>
      <c r="U330" s="22"/>
      <c r="Z330" s="22"/>
      <c r="AE330" s="22"/>
    </row>
    <row r="331" spans="6:31" x14ac:dyDescent="0.25">
      <c r="F331" s="22"/>
      <c r="K331" s="22"/>
      <c r="P331" s="22"/>
      <c r="U331" s="22"/>
      <c r="Z331" s="22"/>
      <c r="AE331" s="22"/>
    </row>
    <row r="332" spans="6:31" x14ac:dyDescent="0.25">
      <c r="F332" s="22"/>
      <c r="K332" s="22"/>
      <c r="P332" s="22"/>
      <c r="U332" s="22"/>
      <c r="Z332" s="22"/>
      <c r="AE332" s="22"/>
    </row>
  </sheetData>
  <mergeCells count="98">
    <mergeCell ref="J54:K54"/>
    <mergeCell ref="J55:K55"/>
    <mergeCell ref="J56:K56"/>
    <mergeCell ref="C54:H54"/>
    <mergeCell ref="C57:H57"/>
    <mergeCell ref="C55:H55"/>
    <mergeCell ref="C56:H56"/>
    <mergeCell ref="C58:H58"/>
    <mergeCell ref="C59:H59"/>
    <mergeCell ref="C62:H62"/>
    <mergeCell ref="C60:H60"/>
    <mergeCell ref="J57:K57"/>
    <mergeCell ref="J58:K58"/>
    <mergeCell ref="J59:K59"/>
    <mergeCell ref="J60:K60"/>
    <mergeCell ref="J61:K61"/>
    <mergeCell ref="O58:P58"/>
    <mergeCell ref="C63:H63"/>
    <mergeCell ref="C64:H64"/>
    <mergeCell ref="C65:H65"/>
    <mergeCell ref="C66:H66"/>
    <mergeCell ref="J62:K62"/>
    <mergeCell ref="C61:H61"/>
    <mergeCell ref="O64:P64"/>
    <mergeCell ref="J63:K63"/>
    <mergeCell ref="J64:K64"/>
    <mergeCell ref="J65:K65"/>
    <mergeCell ref="J66:K66"/>
    <mergeCell ref="O59:P59"/>
    <mergeCell ref="O60:P60"/>
    <mergeCell ref="O61:P61"/>
    <mergeCell ref="O62:P62"/>
    <mergeCell ref="M54:N54"/>
    <mergeCell ref="O54:Q54"/>
    <mergeCell ref="O55:P55"/>
    <mergeCell ref="O56:P56"/>
    <mergeCell ref="O57:P57"/>
    <mergeCell ref="O63:P63"/>
    <mergeCell ref="O65:P65"/>
    <mergeCell ref="O66:P66"/>
    <mergeCell ref="C70:H70"/>
    <mergeCell ref="J70:K70"/>
    <mergeCell ref="O70:P70"/>
    <mergeCell ref="AK1:AN1"/>
    <mergeCell ref="AP1:AS1"/>
    <mergeCell ref="AU1:AX1"/>
    <mergeCell ref="C29:H29"/>
    <mergeCell ref="J29:K29"/>
    <mergeCell ref="O29:Q29"/>
    <mergeCell ref="R29:S29"/>
    <mergeCell ref="T29:U29"/>
    <mergeCell ref="AA1:AD1"/>
    <mergeCell ref="AF1:AI1"/>
    <mergeCell ref="L1:O1"/>
    <mergeCell ref="Q1:T1"/>
    <mergeCell ref="V1:Y1"/>
    <mergeCell ref="B1:E1"/>
    <mergeCell ref="G1:J1"/>
    <mergeCell ref="C30:H30"/>
    <mergeCell ref="J30:K30"/>
    <mergeCell ref="O30:P30"/>
    <mergeCell ref="C31:H31"/>
    <mergeCell ref="J31:K31"/>
    <mergeCell ref="O31:P31"/>
    <mergeCell ref="C32:H32"/>
    <mergeCell ref="J32:K32"/>
    <mergeCell ref="O32:P32"/>
    <mergeCell ref="C33:H33"/>
    <mergeCell ref="J33:K33"/>
    <mergeCell ref="O33:P33"/>
    <mergeCell ref="C34:H34"/>
    <mergeCell ref="J34:K34"/>
    <mergeCell ref="O34:P34"/>
    <mergeCell ref="C35:H35"/>
    <mergeCell ref="J35:K35"/>
    <mergeCell ref="O35:P35"/>
    <mergeCell ref="C36:H36"/>
    <mergeCell ref="J36:K36"/>
    <mergeCell ref="O36:P36"/>
    <mergeCell ref="C37:H37"/>
    <mergeCell ref="J37:K37"/>
    <mergeCell ref="O37:P37"/>
    <mergeCell ref="C38:H38"/>
    <mergeCell ref="J38:K38"/>
    <mergeCell ref="O38:P38"/>
    <mergeCell ref="C39:H39"/>
    <mergeCell ref="J39:K39"/>
    <mergeCell ref="O39:P39"/>
    <mergeCell ref="T30:U30"/>
    <mergeCell ref="T31:U31"/>
    <mergeCell ref="T32:U32"/>
    <mergeCell ref="T33:U33"/>
    <mergeCell ref="T34:U34"/>
    <mergeCell ref="T35:U35"/>
    <mergeCell ref="T36:U36"/>
    <mergeCell ref="T37:U37"/>
    <mergeCell ref="T38:U38"/>
    <mergeCell ref="T39:U39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List1</vt:lpstr>
      <vt:lpstr>List2</vt:lpstr>
    </vt:vector>
  </TitlesOfParts>
  <Company>T.L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T.Lukáš</dc:creator>
  <cp:lastModifiedBy>Martina</cp:lastModifiedBy>
  <dcterms:created xsi:type="dcterms:W3CDTF">2016-10-09T16:05:56Z</dcterms:created>
  <dcterms:modified xsi:type="dcterms:W3CDTF">2023-03-12T11:36:07Z</dcterms:modified>
</cp:coreProperties>
</file>